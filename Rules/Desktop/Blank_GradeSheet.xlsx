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7ccf686fc8e0cdb/Desktop/Important/"/>
    </mc:Choice>
  </mc:AlternateContent>
  <xr:revisionPtr revIDLastSave="4" documentId="13_ncr:1_{236A2C4C-E5F5-470F-8E28-9DA07E4D167B}" xr6:coauthVersionLast="47" xr6:coauthVersionMax="47" xr10:uidLastSave="{34D03638-E261-474D-8CF8-EDC0383CF661}"/>
  <bookViews>
    <workbookView xWindow="-108" yWindow="-108" windowWidth="23256" windowHeight="12456" xr2:uid="{00000000-000D-0000-FFFF-FFFF00000000}"/>
  </bookViews>
  <sheets>
    <sheet name="SETTINGS" sheetId="3" r:id="rId1"/>
    <sheet name="ATT" sheetId="7" r:id="rId2"/>
    <sheet name="MID-FINAL" sheetId="1" r:id="rId3"/>
    <sheet name="AVERAGE" sheetId="4" r:id="rId4"/>
    <sheet name="GRADE EQUIVALENTS" sheetId="6" state="hidden" r:id="rId5"/>
    <sheet name="MIDTERM SOG" sheetId="5" r:id="rId6"/>
  </sheets>
  <definedNames>
    <definedName name="_xlnm._FilterDatabase" localSheetId="2" hidden="1">'MID-FINAL'!$B$2:$AG$82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5">'MIDTERM SOG'!$A$1:$R$76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5" l="1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13" i="5"/>
  <c r="G13" i="5"/>
  <c r="N13" i="5"/>
  <c r="E13" i="5"/>
  <c r="M13" i="5"/>
  <c r="D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F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BD6" i="1"/>
  <c r="AB6" i="1"/>
  <c r="G26" i="3"/>
  <c r="D11" i="4"/>
  <c r="BE64" i="1"/>
  <c r="BD7" i="1"/>
  <c r="BE7" i="1" s="1"/>
  <c r="BD8" i="1"/>
  <c r="BE8" i="1" s="1"/>
  <c r="BD9" i="1"/>
  <c r="BE9" i="1" s="1"/>
  <c r="BD10" i="1"/>
  <c r="BE10" i="1" s="1"/>
  <c r="BD11" i="1"/>
  <c r="BE11" i="1" s="1"/>
  <c r="BD12" i="1"/>
  <c r="BE12" i="1" s="1"/>
  <c r="BD13" i="1"/>
  <c r="BE13" i="1" s="1"/>
  <c r="BD14" i="1"/>
  <c r="BE14" i="1" s="1"/>
  <c r="BD15" i="1"/>
  <c r="BE15" i="1" s="1"/>
  <c r="BD16" i="1"/>
  <c r="BE16" i="1" s="1"/>
  <c r="BD17" i="1"/>
  <c r="BE17" i="1" s="1"/>
  <c r="BD18" i="1"/>
  <c r="BE18" i="1" s="1"/>
  <c r="BD19" i="1"/>
  <c r="BE19" i="1" s="1"/>
  <c r="BD20" i="1"/>
  <c r="BE20" i="1" s="1"/>
  <c r="BD21" i="1"/>
  <c r="BE21" i="1" s="1"/>
  <c r="BD22" i="1"/>
  <c r="BE22" i="1" s="1"/>
  <c r="BD23" i="1"/>
  <c r="BE23" i="1" s="1"/>
  <c r="BD24" i="1"/>
  <c r="BE24" i="1" s="1"/>
  <c r="BD25" i="1"/>
  <c r="BE25" i="1" s="1"/>
  <c r="BD26" i="1"/>
  <c r="BE26" i="1" s="1"/>
  <c r="BD27" i="1"/>
  <c r="BE27" i="1" s="1"/>
  <c r="BD28" i="1"/>
  <c r="BE28" i="1" s="1"/>
  <c r="BD29" i="1"/>
  <c r="BE29" i="1" s="1"/>
  <c r="BD30" i="1"/>
  <c r="BE30" i="1" s="1"/>
  <c r="BD31" i="1"/>
  <c r="BE31" i="1" s="1"/>
  <c r="BD32" i="1"/>
  <c r="BE32" i="1" s="1"/>
  <c r="BD33" i="1"/>
  <c r="BE33" i="1" s="1"/>
  <c r="BD34" i="1"/>
  <c r="BE34" i="1" s="1"/>
  <c r="BD35" i="1"/>
  <c r="BE35" i="1" s="1"/>
  <c r="BD36" i="1"/>
  <c r="BE36" i="1" s="1"/>
  <c r="BD37" i="1"/>
  <c r="BE37" i="1" s="1"/>
  <c r="BD38" i="1"/>
  <c r="BE38" i="1" s="1"/>
  <c r="BD39" i="1"/>
  <c r="BE39" i="1" s="1"/>
  <c r="BD40" i="1"/>
  <c r="BE40" i="1" s="1"/>
  <c r="BD41" i="1"/>
  <c r="BE41" i="1" s="1"/>
  <c r="BD42" i="1"/>
  <c r="BE42" i="1" s="1"/>
  <c r="BD43" i="1"/>
  <c r="BE43" i="1" s="1"/>
  <c r="BD44" i="1"/>
  <c r="BE44" i="1" s="1"/>
  <c r="BD45" i="1"/>
  <c r="BE45" i="1" s="1"/>
  <c r="BD46" i="1"/>
  <c r="BE46" i="1" s="1"/>
  <c r="BD47" i="1"/>
  <c r="BE47" i="1" s="1"/>
  <c r="BD48" i="1"/>
  <c r="BE48" i="1" s="1"/>
  <c r="BD49" i="1"/>
  <c r="BE49" i="1" s="1"/>
  <c r="BD50" i="1"/>
  <c r="BE50" i="1" s="1"/>
  <c r="BD51" i="1"/>
  <c r="BE51" i="1" s="1"/>
  <c r="BD52" i="1"/>
  <c r="BE52" i="1" s="1"/>
  <c r="BD53" i="1"/>
  <c r="BE53" i="1" s="1"/>
  <c r="BD54" i="1"/>
  <c r="BE54" i="1" s="1"/>
  <c r="BD55" i="1"/>
  <c r="BE55" i="1" s="1"/>
  <c r="BD56" i="1"/>
  <c r="BE56" i="1" s="1"/>
  <c r="BD57" i="1"/>
  <c r="BE57" i="1" s="1"/>
  <c r="BD58" i="1"/>
  <c r="BE58" i="1" s="1"/>
  <c r="BD59" i="1"/>
  <c r="BE59" i="1" s="1"/>
  <c r="BD60" i="1"/>
  <c r="BE60" i="1" s="1"/>
  <c r="BD61" i="1"/>
  <c r="BE61" i="1" s="1"/>
  <c r="BD62" i="1"/>
  <c r="BE62" i="1" s="1"/>
  <c r="BD63" i="1"/>
  <c r="BE63" i="1" s="1"/>
  <c r="BD64" i="1"/>
  <c r="BD65" i="1"/>
  <c r="BE65" i="1" s="1"/>
  <c r="BD66" i="1"/>
  <c r="BE66" i="1" s="1"/>
  <c r="BD67" i="1"/>
  <c r="BE67" i="1" s="1"/>
  <c r="BD68" i="1"/>
  <c r="BE68" i="1" s="1"/>
  <c r="BD69" i="1"/>
  <c r="BE69" i="1" s="1"/>
  <c r="BD70" i="1"/>
  <c r="BE70" i="1" s="1"/>
  <c r="BD71" i="1"/>
  <c r="BE71" i="1" s="1"/>
  <c r="BD72" i="1"/>
  <c r="BE72" i="1" s="1"/>
  <c r="BD73" i="1"/>
  <c r="BE73" i="1" s="1"/>
  <c r="BD74" i="1"/>
  <c r="BE74" i="1" s="1"/>
  <c r="BD75" i="1"/>
  <c r="BE75" i="1" s="1"/>
  <c r="BD76" i="1"/>
  <c r="BE76" i="1" s="1"/>
  <c r="BD77" i="1"/>
  <c r="BE77" i="1" s="1"/>
  <c r="BD78" i="1"/>
  <c r="BE78" i="1" s="1"/>
  <c r="BD79" i="1"/>
  <c r="BE79" i="1" s="1"/>
  <c r="BD80" i="1"/>
  <c r="BE80" i="1" s="1"/>
  <c r="BD81" i="1"/>
  <c r="BE81" i="1" s="1"/>
  <c r="BD82" i="1"/>
  <c r="BE82" i="1" s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7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AB9" i="1"/>
  <c r="AC9" i="1" s="1"/>
  <c r="AB8" i="1"/>
  <c r="AC8" i="1" s="1"/>
  <c r="AB7" i="1"/>
  <c r="AC7" i="1" s="1"/>
  <c r="AB10" i="1"/>
  <c r="AC10" i="1" s="1"/>
  <c r="AB11" i="1"/>
  <c r="AC11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2" i="1"/>
  <c r="AC22" i="1" s="1"/>
  <c r="AB23" i="1"/>
  <c r="AC23" i="1" s="1"/>
  <c r="AB24" i="1"/>
  <c r="AC24" i="1" s="1"/>
  <c r="AB25" i="1"/>
  <c r="AC25" i="1" s="1"/>
  <c r="AB26" i="1"/>
  <c r="AC26" i="1" s="1"/>
  <c r="AB27" i="1"/>
  <c r="AC27" i="1" s="1"/>
  <c r="AB28" i="1"/>
  <c r="AC28" i="1" s="1"/>
  <c r="AB29" i="1"/>
  <c r="AC29" i="1" s="1"/>
  <c r="AB30" i="1"/>
  <c r="AC30" i="1" s="1"/>
  <c r="AB31" i="1"/>
  <c r="AC31" i="1" s="1"/>
  <c r="AB32" i="1"/>
  <c r="AC32" i="1" s="1"/>
  <c r="AB33" i="1"/>
  <c r="AC33" i="1" s="1"/>
  <c r="AB34" i="1"/>
  <c r="AC34" i="1" s="1"/>
  <c r="AB35" i="1"/>
  <c r="AC35" i="1" s="1"/>
  <c r="AB36" i="1"/>
  <c r="AC36" i="1" s="1"/>
  <c r="AB37" i="1"/>
  <c r="AC37" i="1" s="1"/>
  <c r="AB38" i="1"/>
  <c r="AC38" i="1" s="1"/>
  <c r="AB39" i="1"/>
  <c r="AC39" i="1" s="1"/>
  <c r="AB40" i="1"/>
  <c r="AC40" i="1" s="1"/>
  <c r="AB41" i="1"/>
  <c r="AC41" i="1" s="1"/>
  <c r="AB42" i="1"/>
  <c r="AC42" i="1" s="1"/>
  <c r="AB43" i="1"/>
  <c r="AC43" i="1" s="1"/>
  <c r="AB44" i="1"/>
  <c r="AC44" i="1" s="1"/>
  <c r="AB45" i="1"/>
  <c r="AC45" i="1" s="1"/>
  <c r="AB46" i="1"/>
  <c r="AC46" i="1" s="1"/>
  <c r="AB47" i="1"/>
  <c r="AC47" i="1" s="1"/>
  <c r="AB48" i="1"/>
  <c r="AC48" i="1" s="1"/>
  <c r="AB49" i="1"/>
  <c r="AC49" i="1" s="1"/>
  <c r="AB50" i="1"/>
  <c r="AC50" i="1" s="1"/>
  <c r="AB51" i="1"/>
  <c r="AC51" i="1" s="1"/>
  <c r="AB52" i="1"/>
  <c r="AC52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59" i="1"/>
  <c r="AC59" i="1" s="1"/>
  <c r="AB60" i="1"/>
  <c r="AC60" i="1" s="1"/>
  <c r="AB61" i="1"/>
  <c r="AC61" i="1" s="1"/>
  <c r="AB62" i="1"/>
  <c r="AC62" i="1" s="1"/>
  <c r="AB63" i="1"/>
  <c r="AC63" i="1" s="1"/>
  <c r="AB64" i="1"/>
  <c r="AC64" i="1" s="1"/>
  <c r="AB65" i="1"/>
  <c r="AC65" i="1" s="1"/>
  <c r="AB66" i="1"/>
  <c r="AC66" i="1" s="1"/>
  <c r="AB67" i="1"/>
  <c r="AC67" i="1" s="1"/>
  <c r="AB68" i="1"/>
  <c r="AC68" i="1" s="1"/>
  <c r="AB69" i="1"/>
  <c r="AC69" i="1" s="1"/>
  <c r="AB70" i="1"/>
  <c r="AC70" i="1" s="1"/>
  <c r="AB71" i="1"/>
  <c r="AC71" i="1" s="1"/>
  <c r="AB72" i="1"/>
  <c r="AC72" i="1" s="1"/>
  <c r="AB73" i="1"/>
  <c r="AC73" i="1" s="1"/>
  <c r="AB74" i="1"/>
  <c r="AC74" i="1" s="1"/>
  <c r="AB75" i="1"/>
  <c r="AC75" i="1" s="1"/>
  <c r="AB76" i="1"/>
  <c r="AC76" i="1" s="1"/>
  <c r="AB77" i="1"/>
  <c r="AC77" i="1" s="1"/>
  <c r="AB78" i="1"/>
  <c r="AC78" i="1" s="1"/>
  <c r="AB79" i="1"/>
  <c r="AC79" i="1" s="1"/>
  <c r="AB80" i="1"/>
  <c r="AC80" i="1" s="1"/>
  <c r="AB81" i="1"/>
  <c r="AC81" i="1" s="1"/>
  <c r="AB82" i="1"/>
  <c r="AC82" i="1" s="1"/>
  <c r="AE7" i="1"/>
  <c r="AF7" i="1" s="1"/>
  <c r="G32" i="3"/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7" i="1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81" i="4"/>
  <c r="D81" i="4"/>
  <c r="C82" i="4"/>
  <c r="D82" i="4"/>
  <c r="C83" i="4"/>
  <c r="D83" i="4"/>
  <c r="C84" i="4"/>
  <c r="D84" i="4"/>
  <c r="C85" i="4"/>
  <c r="D85" i="4"/>
  <c r="C86" i="4"/>
  <c r="D86" i="4"/>
  <c r="C87" i="4"/>
  <c r="D87" i="4"/>
  <c r="C88" i="4"/>
  <c r="D88" i="4"/>
  <c r="C89" i="4"/>
  <c r="D89" i="4"/>
  <c r="B9" i="4"/>
  <c r="BG7" i="1" l="1"/>
  <c r="BH7" i="1" s="1"/>
  <c r="BG8" i="1"/>
  <c r="BH8" i="1" s="1"/>
  <c r="BG9" i="1"/>
  <c r="BH9" i="1" s="1"/>
  <c r="BG10" i="1"/>
  <c r="BH10" i="1" s="1"/>
  <c r="BG11" i="1"/>
  <c r="BH11" i="1" s="1"/>
  <c r="BG12" i="1"/>
  <c r="BH12" i="1" s="1"/>
  <c r="BG13" i="1"/>
  <c r="BH13" i="1" s="1"/>
  <c r="BG14" i="1"/>
  <c r="BH14" i="1" s="1"/>
  <c r="BG15" i="1"/>
  <c r="BH15" i="1" s="1"/>
  <c r="BG16" i="1"/>
  <c r="BH16" i="1" s="1"/>
  <c r="BG17" i="1"/>
  <c r="BH17" i="1" s="1"/>
  <c r="BG18" i="1"/>
  <c r="BH18" i="1" s="1"/>
  <c r="BG19" i="1"/>
  <c r="BH19" i="1" s="1"/>
  <c r="C66" i="7" l="1"/>
  <c r="S66" i="7"/>
  <c r="AJ66" i="7" s="1"/>
  <c r="AY67" i="1" s="1"/>
  <c r="AZ67" i="1" s="1"/>
  <c r="C67" i="7"/>
  <c r="S67" i="7"/>
  <c r="AJ67" i="7" s="1"/>
  <c r="AY68" i="1" s="1"/>
  <c r="AZ68" i="1" s="1"/>
  <c r="C68" i="7"/>
  <c r="S68" i="7"/>
  <c r="AJ68" i="7" s="1"/>
  <c r="AY69" i="1" s="1"/>
  <c r="AZ69" i="1" s="1"/>
  <c r="C69" i="7"/>
  <c r="S69" i="7"/>
  <c r="AJ69" i="7" s="1"/>
  <c r="AY70" i="1" s="1"/>
  <c r="AZ70" i="1" s="1"/>
  <c r="C70" i="7"/>
  <c r="S70" i="7"/>
  <c r="AJ70" i="7" s="1"/>
  <c r="AY71" i="1" s="1"/>
  <c r="AZ71" i="1" s="1"/>
  <c r="C71" i="7"/>
  <c r="S71" i="7"/>
  <c r="AJ71" i="7" s="1"/>
  <c r="AY72" i="1" s="1"/>
  <c r="AZ72" i="1" s="1"/>
  <c r="C72" i="7"/>
  <c r="S72" i="7"/>
  <c r="AJ72" i="7" s="1"/>
  <c r="AY73" i="1" s="1"/>
  <c r="AZ73" i="1" s="1"/>
  <c r="C73" i="7"/>
  <c r="S73" i="7"/>
  <c r="AJ73" i="7" s="1"/>
  <c r="AY74" i="1" s="1"/>
  <c r="AZ74" i="1" s="1"/>
  <c r="C74" i="7"/>
  <c r="S74" i="7"/>
  <c r="AJ74" i="7" s="1"/>
  <c r="AY75" i="1" s="1"/>
  <c r="AZ75" i="1" s="1"/>
  <c r="C75" i="7"/>
  <c r="S75" i="7"/>
  <c r="AJ75" i="7" s="1"/>
  <c r="AY76" i="1" s="1"/>
  <c r="AZ76" i="1" s="1"/>
  <c r="C76" i="7"/>
  <c r="S76" i="7"/>
  <c r="AJ76" i="7" s="1"/>
  <c r="AY77" i="1" s="1"/>
  <c r="AZ77" i="1" s="1"/>
  <c r="C77" i="7"/>
  <c r="S77" i="7"/>
  <c r="AJ77" i="7" s="1"/>
  <c r="AY78" i="1" s="1"/>
  <c r="AZ78" i="1" s="1"/>
  <c r="C78" i="7"/>
  <c r="S78" i="7"/>
  <c r="AJ78" i="7" s="1"/>
  <c r="AY79" i="1" s="1"/>
  <c r="AZ79" i="1" s="1"/>
  <c r="C79" i="7"/>
  <c r="S79" i="7"/>
  <c r="AJ79" i="7" s="1"/>
  <c r="AY80" i="1" s="1"/>
  <c r="AZ80" i="1" s="1"/>
  <c r="C80" i="7"/>
  <c r="S80" i="7"/>
  <c r="AJ80" i="7" s="1"/>
  <c r="AY81" i="1" s="1"/>
  <c r="AZ81" i="1" s="1"/>
  <c r="C81" i="7"/>
  <c r="S81" i="7"/>
  <c r="AJ81" i="7" s="1"/>
  <c r="AY82" i="1" s="1"/>
  <c r="AZ82" i="1" s="1"/>
  <c r="J77" i="1"/>
  <c r="R77" i="1"/>
  <c r="Z77" i="1"/>
  <c r="AE77" i="1"/>
  <c r="AF77" i="1" s="1"/>
  <c r="AN77" i="1"/>
  <c r="AV77" i="1"/>
  <c r="BG77" i="1"/>
  <c r="BH77" i="1" s="1"/>
  <c r="J78" i="1"/>
  <c r="R78" i="1"/>
  <c r="Z78" i="1"/>
  <c r="AE78" i="1"/>
  <c r="AF78" i="1" s="1"/>
  <c r="AN78" i="1"/>
  <c r="AV78" i="1"/>
  <c r="BG78" i="1"/>
  <c r="BH78" i="1" s="1"/>
  <c r="J79" i="1"/>
  <c r="R79" i="1"/>
  <c r="Z79" i="1"/>
  <c r="AE79" i="1"/>
  <c r="AF79" i="1" s="1"/>
  <c r="AN79" i="1"/>
  <c r="AV79" i="1"/>
  <c r="BG79" i="1"/>
  <c r="BH79" i="1" s="1"/>
  <c r="J80" i="1"/>
  <c r="R80" i="1"/>
  <c r="Z80" i="1"/>
  <c r="AE80" i="1"/>
  <c r="AF80" i="1" s="1"/>
  <c r="AN80" i="1"/>
  <c r="AV80" i="1"/>
  <c r="BG80" i="1"/>
  <c r="BH80" i="1" s="1"/>
  <c r="J81" i="1"/>
  <c r="R81" i="1"/>
  <c r="Z81" i="1"/>
  <c r="AE81" i="1"/>
  <c r="AF81" i="1" s="1"/>
  <c r="AN81" i="1"/>
  <c r="AV81" i="1"/>
  <c r="BG81" i="1"/>
  <c r="BH81" i="1" s="1"/>
  <c r="J82" i="1"/>
  <c r="R82" i="1"/>
  <c r="Z82" i="1"/>
  <c r="AE82" i="1"/>
  <c r="AF82" i="1" s="1"/>
  <c r="AN82" i="1"/>
  <c r="AV82" i="1"/>
  <c r="BG82" i="1"/>
  <c r="BH82" i="1" s="1"/>
  <c r="J7" i="1"/>
  <c r="R7" i="1"/>
  <c r="Z7" i="1"/>
  <c r="AN7" i="1"/>
  <c r="AV7" i="1"/>
  <c r="J8" i="1"/>
  <c r="R8" i="1"/>
  <c r="Z8" i="1"/>
  <c r="AE8" i="1"/>
  <c r="AF8" i="1" s="1"/>
  <c r="AN8" i="1"/>
  <c r="AV8" i="1"/>
  <c r="J9" i="1"/>
  <c r="R9" i="1"/>
  <c r="Z9" i="1"/>
  <c r="AE9" i="1"/>
  <c r="AF9" i="1" s="1"/>
  <c r="AN9" i="1"/>
  <c r="AV9" i="1"/>
  <c r="J10" i="1"/>
  <c r="R10" i="1"/>
  <c r="Z10" i="1"/>
  <c r="AE10" i="1"/>
  <c r="AF10" i="1" s="1"/>
  <c r="AN10" i="1"/>
  <c r="AV10" i="1"/>
  <c r="J11" i="1"/>
  <c r="R11" i="1"/>
  <c r="Z11" i="1"/>
  <c r="AE11" i="1"/>
  <c r="AF11" i="1" s="1"/>
  <c r="AN11" i="1"/>
  <c r="AV11" i="1"/>
  <c r="J12" i="1"/>
  <c r="R12" i="1"/>
  <c r="Z12" i="1"/>
  <c r="AE12" i="1"/>
  <c r="AF12" i="1" s="1"/>
  <c r="AN12" i="1"/>
  <c r="AV12" i="1"/>
  <c r="J13" i="1"/>
  <c r="R13" i="1"/>
  <c r="Z13" i="1"/>
  <c r="AE13" i="1"/>
  <c r="AF13" i="1" s="1"/>
  <c r="AN13" i="1"/>
  <c r="AV13" i="1"/>
  <c r="J14" i="1"/>
  <c r="R14" i="1"/>
  <c r="Z14" i="1"/>
  <c r="AE14" i="1"/>
  <c r="AF14" i="1" s="1"/>
  <c r="AN14" i="1"/>
  <c r="AV14" i="1"/>
  <c r="J15" i="1"/>
  <c r="R15" i="1"/>
  <c r="Z15" i="1"/>
  <c r="AE15" i="1"/>
  <c r="AF15" i="1" s="1"/>
  <c r="AN15" i="1"/>
  <c r="AV15" i="1"/>
  <c r="J16" i="1"/>
  <c r="R16" i="1"/>
  <c r="Z16" i="1"/>
  <c r="AE16" i="1"/>
  <c r="AF16" i="1" s="1"/>
  <c r="AN16" i="1"/>
  <c r="AV16" i="1"/>
  <c r="J17" i="1"/>
  <c r="R17" i="1"/>
  <c r="Z17" i="1"/>
  <c r="AE17" i="1"/>
  <c r="AF17" i="1" s="1"/>
  <c r="AN17" i="1"/>
  <c r="AV17" i="1"/>
  <c r="J18" i="1"/>
  <c r="R18" i="1"/>
  <c r="Z18" i="1"/>
  <c r="AE18" i="1"/>
  <c r="AF18" i="1" s="1"/>
  <c r="AN18" i="1"/>
  <c r="AV18" i="1"/>
  <c r="J19" i="1"/>
  <c r="R19" i="1"/>
  <c r="Z19" i="1"/>
  <c r="AE19" i="1"/>
  <c r="AF19" i="1" s="1"/>
  <c r="AN19" i="1"/>
  <c r="AV19" i="1"/>
  <c r="J20" i="1"/>
  <c r="R20" i="1"/>
  <c r="Z20" i="1"/>
  <c r="AE20" i="1"/>
  <c r="AF20" i="1" s="1"/>
  <c r="AN20" i="1"/>
  <c r="AV20" i="1"/>
  <c r="J21" i="1"/>
  <c r="R21" i="1"/>
  <c r="Z21" i="1"/>
  <c r="AE21" i="1"/>
  <c r="AF21" i="1" s="1"/>
  <c r="AN21" i="1"/>
  <c r="AV21" i="1"/>
  <c r="J22" i="1"/>
  <c r="R22" i="1"/>
  <c r="Z22" i="1"/>
  <c r="AE22" i="1"/>
  <c r="AF22" i="1" s="1"/>
  <c r="AN22" i="1"/>
  <c r="AV22" i="1"/>
  <c r="J23" i="1"/>
  <c r="R23" i="1"/>
  <c r="Z23" i="1"/>
  <c r="AE23" i="1"/>
  <c r="AF23" i="1" s="1"/>
  <c r="AN23" i="1"/>
  <c r="AV23" i="1"/>
  <c r="J24" i="1"/>
  <c r="R24" i="1"/>
  <c r="Z24" i="1"/>
  <c r="AE24" i="1"/>
  <c r="AF24" i="1" s="1"/>
  <c r="AN24" i="1"/>
  <c r="AV24" i="1"/>
  <c r="J25" i="1"/>
  <c r="R25" i="1"/>
  <c r="Z25" i="1"/>
  <c r="AE25" i="1"/>
  <c r="AF25" i="1" s="1"/>
  <c r="AN25" i="1"/>
  <c r="AV25" i="1"/>
  <c r="J26" i="1"/>
  <c r="R26" i="1"/>
  <c r="Z26" i="1"/>
  <c r="AE26" i="1"/>
  <c r="AF26" i="1" s="1"/>
  <c r="AN26" i="1"/>
  <c r="AV26" i="1"/>
  <c r="J27" i="1"/>
  <c r="R27" i="1"/>
  <c r="Z27" i="1"/>
  <c r="AE27" i="1"/>
  <c r="AF27" i="1" s="1"/>
  <c r="AN27" i="1"/>
  <c r="AV27" i="1"/>
  <c r="J28" i="1"/>
  <c r="R28" i="1"/>
  <c r="Z28" i="1"/>
  <c r="AE28" i="1"/>
  <c r="AF28" i="1" s="1"/>
  <c r="AN28" i="1"/>
  <c r="AV28" i="1"/>
  <c r="J29" i="1"/>
  <c r="R29" i="1"/>
  <c r="Z29" i="1"/>
  <c r="AE29" i="1"/>
  <c r="AF29" i="1" s="1"/>
  <c r="AN29" i="1"/>
  <c r="AV29" i="1"/>
  <c r="J30" i="1"/>
  <c r="R30" i="1"/>
  <c r="Z30" i="1"/>
  <c r="AE30" i="1"/>
  <c r="AF30" i="1" s="1"/>
  <c r="AN30" i="1"/>
  <c r="AV30" i="1"/>
  <c r="J31" i="1"/>
  <c r="R31" i="1"/>
  <c r="Z31" i="1"/>
  <c r="AE31" i="1"/>
  <c r="AF31" i="1" s="1"/>
  <c r="AN31" i="1"/>
  <c r="AV31" i="1"/>
  <c r="J32" i="1"/>
  <c r="R32" i="1"/>
  <c r="Z32" i="1"/>
  <c r="AE32" i="1"/>
  <c r="AF32" i="1" s="1"/>
  <c r="AN32" i="1"/>
  <c r="AV32" i="1"/>
  <c r="J33" i="1"/>
  <c r="R33" i="1"/>
  <c r="Z33" i="1"/>
  <c r="AE33" i="1"/>
  <c r="AF33" i="1" s="1"/>
  <c r="AN33" i="1"/>
  <c r="AV33" i="1"/>
  <c r="J34" i="1"/>
  <c r="R34" i="1"/>
  <c r="Z34" i="1"/>
  <c r="AE34" i="1"/>
  <c r="AF34" i="1" s="1"/>
  <c r="AN34" i="1"/>
  <c r="AV34" i="1"/>
  <c r="J35" i="1"/>
  <c r="R35" i="1"/>
  <c r="Z35" i="1"/>
  <c r="AE35" i="1"/>
  <c r="AF35" i="1" s="1"/>
  <c r="AN35" i="1"/>
  <c r="AV35" i="1"/>
  <c r="J36" i="1"/>
  <c r="R36" i="1"/>
  <c r="Z36" i="1"/>
  <c r="AE36" i="1"/>
  <c r="AF36" i="1" s="1"/>
  <c r="AN36" i="1"/>
  <c r="AV36" i="1"/>
  <c r="J37" i="1"/>
  <c r="R37" i="1"/>
  <c r="Z37" i="1"/>
  <c r="AE37" i="1"/>
  <c r="AF37" i="1" s="1"/>
  <c r="AN37" i="1"/>
  <c r="AV37" i="1"/>
  <c r="J38" i="1"/>
  <c r="R38" i="1"/>
  <c r="Z38" i="1"/>
  <c r="AE38" i="1"/>
  <c r="AF38" i="1" s="1"/>
  <c r="AN38" i="1"/>
  <c r="AV38" i="1"/>
  <c r="J39" i="1"/>
  <c r="R39" i="1"/>
  <c r="Z39" i="1"/>
  <c r="AE39" i="1"/>
  <c r="AF39" i="1" s="1"/>
  <c r="AN39" i="1"/>
  <c r="AV39" i="1"/>
  <c r="J40" i="1"/>
  <c r="R40" i="1"/>
  <c r="Z40" i="1"/>
  <c r="AE40" i="1"/>
  <c r="AF40" i="1" s="1"/>
  <c r="AN40" i="1"/>
  <c r="AV40" i="1"/>
  <c r="J41" i="1"/>
  <c r="R41" i="1"/>
  <c r="Z41" i="1"/>
  <c r="AE41" i="1"/>
  <c r="AF41" i="1" s="1"/>
  <c r="AN41" i="1"/>
  <c r="AV41" i="1"/>
  <c r="J42" i="1"/>
  <c r="R42" i="1"/>
  <c r="Z42" i="1"/>
  <c r="AE42" i="1"/>
  <c r="AF42" i="1" s="1"/>
  <c r="AN42" i="1"/>
  <c r="AV42" i="1"/>
  <c r="J43" i="1"/>
  <c r="R43" i="1"/>
  <c r="Z43" i="1"/>
  <c r="AE43" i="1"/>
  <c r="AF43" i="1" s="1"/>
  <c r="AN43" i="1"/>
  <c r="AV43" i="1"/>
  <c r="J44" i="1"/>
  <c r="R44" i="1"/>
  <c r="Z44" i="1"/>
  <c r="AE44" i="1"/>
  <c r="AF44" i="1" s="1"/>
  <c r="AN44" i="1"/>
  <c r="AV44" i="1"/>
  <c r="J45" i="1"/>
  <c r="R45" i="1"/>
  <c r="Z45" i="1"/>
  <c r="AE45" i="1"/>
  <c r="AF45" i="1" s="1"/>
  <c r="AN45" i="1"/>
  <c r="AV45" i="1"/>
  <c r="J46" i="1"/>
  <c r="R46" i="1"/>
  <c r="Z46" i="1"/>
  <c r="AE46" i="1"/>
  <c r="AF46" i="1" s="1"/>
  <c r="AN46" i="1"/>
  <c r="AV46" i="1"/>
  <c r="J47" i="1"/>
  <c r="R47" i="1"/>
  <c r="Z47" i="1"/>
  <c r="AE47" i="1"/>
  <c r="AF47" i="1" s="1"/>
  <c r="AN47" i="1"/>
  <c r="AV47" i="1"/>
  <c r="J48" i="1"/>
  <c r="R48" i="1"/>
  <c r="Z48" i="1"/>
  <c r="AE48" i="1"/>
  <c r="AF48" i="1" s="1"/>
  <c r="AN48" i="1"/>
  <c r="AV48" i="1"/>
  <c r="J49" i="1"/>
  <c r="R49" i="1"/>
  <c r="Z49" i="1"/>
  <c r="AE49" i="1"/>
  <c r="AF49" i="1" s="1"/>
  <c r="AN49" i="1"/>
  <c r="AV49" i="1"/>
  <c r="J50" i="1"/>
  <c r="R50" i="1"/>
  <c r="Z50" i="1"/>
  <c r="AE50" i="1"/>
  <c r="AF50" i="1" s="1"/>
  <c r="AN50" i="1"/>
  <c r="AV50" i="1"/>
  <c r="J51" i="1"/>
  <c r="R51" i="1"/>
  <c r="Z51" i="1"/>
  <c r="AE51" i="1"/>
  <c r="AF51" i="1" s="1"/>
  <c r="AN51" i="1"/>
  <c r="AV51" i="1"/>
  <c r="J52" i="1"/>
  <c r="R52" i="1"/>
  <c r="Z52" i="1"/>
  <c r="AE52" i="1"/>
  <c r="AF52" i="1" s="1"/>
  <c r="AN52" i="1"/>
  <c r="AV52" i="1"/>
  <c r="J53" i="1"/>
  <c r="R53" i="1"/>
  <c r="Z53" i="1"/>
  <c r="AE53" i="1"/>
  <c r="AF53" i="1" s="1"/>
  <c r="AN53" i="1"/>
  <c r="AV53" i="1"/>
  <c r="BG20" i="1" l="1"/>
  <c r="BH20" i="1" s="1"/>
  <c r="BG21" i="1"/>
  <c r="BH21" i="1" s="1"/>
  <c r="BG22" i="1"/>
  <c r="BH22" i="1" s="1"/>
  <c r="BG23" i="1"/>
  <c r="BH23" i="1" s="1"/>
  <c r="BG24" i="1"/>
  <c r="BH24" i="1" s="1"/>
  <c r="BG25" i="1"/>
  <c r="BH25" i="1" s="1"/>
  <c r="BG26" i="1"/>
  <c r="BH26" i="1" s="1"/>
  <c r="BG27" i="1"/>
  <c r="BH27" i="1" s="1"/>
  <c r="BG28" i="1"/>
  <c r="BH28" i="1" s="1"/>
  <c r="BG29" i="1"/>
  <c r="BH29" i="1" s="1"/>
  <c r="BG30" i="1"/>
  <c r="BH30" i="1" s="1"/>
  <c r="BG31" i="1"/>
  <c r="BH31" i="1" s="1"/>
  <c r="BG32" i="1"/>
  <c r="BH32" i="1" s="1"/>
  <c r="BG33" i="1"/>
  <c r="BH33" i="1" s="1"/>
  <c r="BG34" i="1"/>
  <c r="BH34" i="1" s="1"/>
  <c r="BG35" i="1"/>
  <c r="BH35" i="1" s="1"/>
  <c r="BG36" i="1"/>
  <c r="BH36" i="1" s="1"/>
  <c r="BG37" i="1"/>
  <c r="BH37" i="1" s="1"/>
  <c r="BG38" i="1"/>
  <c r="BH38" i="1" s="1"/>
  <c r="BG39" i="1"/>
  <c r="BH39" i="1" s="1"/>
  <c r="BG40" i="1"/>
  <c r="BH40" i="1" s="1"/>
  <c r="BG41" i="1"/>
  <c r="BH41" i="1" s="1"/>
  <c r="BG42" i="1"/>
  <c r="BH42" i="1" s="1"/>
  <c r="BG43" i="1"/>
  <c r="BH43" i="1" s="1"/>
  <c r="BG44" i="1"/>
  <c r="BH44" i="1" s="1"/>
  <c r="BG45" i="1"/>
  <c r="BH45" i="1" s="1"/>
  <c r="BG46" i="1"/>
  <c r="BH46" i="1" s="1"/>
  <c r="BG47" i="1"/>
  <c r="BH47" i="1" s="1"/>
  <c r="BG48" i="1"/>
  <c r="BH48" i="1" s="1"/>
  <c r="BG49" i="1"/>
  <c r="BH49" i="1" s="1"/>
  <c r="BG50" i="1"/>
  <c r="BH50" i="1" s="1"/>
  <c r="BG51" i="1"/>
  <c r="BH51" i="1" s="1"/>
  <c r="BG52" i="1"/>
  <c r="BH52" i="1" s="1"/>
  <c r="BG53" i="1"/>
  <c r="BH53" i="1" s="1"/>
  <c r="BG54" i="1"/>
  <c r="BH54" i="1" s="1"/>
  <c r="BG55" i="1"/>
  <c r="BH55" i="1" s="1"/>
  <c r="BG56" i="1"/>
  <c r="BH56" i="1" s="1"/>
  <c r="BG57" i="1"/>
  <c r="BH57" i="1" s="1"/>
  <c r="BG58" i="1"/>
  <c r="BH58" i="1" s="1"/>
  <c r="BG59" i="1"/>
  <c r="BH59" i="1" s="1"/>
  <c r="BG60" i="1"/>
  <c r="BH60" i="1" s="1"/>
  <c r="BG61" i="1"/>
  <c r="BH61" i="1" s="1"/>
  <c r="BG62" i="1"/>
  <c r="BH62" i="1" s="1"/>
  <c r="BG63" i="1"/>
  <c r="BH63" i="1" s="1"/>
  <c r="BG64" i="1"/>
  <c r="BH64" i="1" s="1"/>
  <c r="BG65" i="1"/>
  <c r="BH65" i="1" s="1"/>
  <c r="BG66" i="1"/>
  <c r="BH66" i="1" s="1"/>
  <c r="BG67" i="1"/>
  <c r="BH67" i="1" s="1"/>
  <c r="BG68" i="1"/>
  <c r="BH68" i="1" s="1"/>
  <c r="BG69" i="1"/>
  <c r="BH69" i="1" s="1"/>
  <c r="BG70" i="1"/>
  <c r="BH70" i="1" s="1"/>
  <c r="BG71" i="1"/>
  <c r="BH71" i="1" s="1"/>
  <c r="BG72" i="1"/>
  <c r="BH72" i="1" s="1"/>
  <c r="BG73" i="1"/>
  <c r="BH73" i="1" s="1"/>
  <c r="BG74" i="1"/>
  <c r="BH74" i="1" s="1"/>
  <c r="BG75" i="1"/>
  <c r="BH75" i="1" s="1"/>
  <c r="BG76" i="1"/>
  <c r="BH76" i="1" s="1"/>
  <c r="BG6" i="1"/>
  <c r="J67" i="1"/>
  <c r="R67" i="1"/>
  <c r="Z67" i="1"/>
  <c r="AE67" i="1"/>
  <c r="AF67" i="1" s="1"/>
  <c r="AN67" i="1"/>
  <c r="AV67" i="1"/>
  <c r="J68" i="1"/>
  <c r="R68" i="1"/>
  <c r="Z68" i="1"/>
  <c r="AE68" i="1"/>
  <c r="AF68" i="1" s="1"/>
  <c r="AN68" i="1"/>
  <c r="AV68" i="1"/>
  <c r="J69" i="1"/>
  <c r="R69" i="1"/>
  <c r="Z69" i="1"/>
  <c r="AE69" i="1"/>
  <c r="AF69" i="1" s="1"/>
  <c r="AN69" i="1"/>
  <c r="AV69" i="1"/>
  <c r="J70" i="1"/>
  <c r="R70" i="1"/>
  <c r="Z70" i="1"/>
  <c r="AE70" i="1"/>
  <c r="AF70" i="1" s="1"/>
  <c r="AN70" i="1"/>
  <c r="AV70" i="1"/>
  <c r="J71" i="1"/>
  <c r="R71" i="1"/>
  <c r="Z71" i="1"/>
  <c r="AE71" i="1"/>
  <c r="AF71" i="1" s="1"/>
  <c r="AN71" i="1"/>
  <c r="AV71" i="1"/>
  <c r="J72" i="1"/>
  <c r="R72" i="1"/>
  <c r="Z72" i="1"/>
  <c r="AE72" i="1"/>
  <c r="AF72" i="1" s="1"/>
  <c r="AN72" i="1"/>
  <c r="AV72" i="1"/>
  <c r="J73" i="1"/>
  <c r="R73" i="1"/>
  <c r="Z73" i="1"/>
  <c r="AE73" i="1"/>
  <c r="AF73" i="1" s="1"/>
  <c r="AN73" i="1"/>
  <c r="AV73" i="1"/>
  <c r="J74" i="1"/>
  <c r="R74" i="1"/>
  <c r="Z74" i="1"/>
  <c r="AE74" i="1"/>
  <c r="AF74" i="1" s="1"/>
  <c r="AN74" i="1"/>
  <c r="AV74" i="1"/>
  <c r="J75" i="1"/>
  <c r="R75" i="1"/>
  <c r="Z75" i="1"/>
  <c r="AE75" i="1"/>
  <c r="AF75" i="1" s="1"/>
  <c r="AN75" i="1"/>
  <c r="AV75" i="1"/>
  <c r="J76" i="1"/>
  <c r="R76" i="1"/>
  <c r="Z76" i="1"/>
  <c r="AE76" i="1"/>
  <c r="AF76" i="1" s="1"/>
  <c r="AN76" i="1"/>
  <c r="AV76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AV66" i="1" l="1"/>
  <c r="AN66" i="1"/>
  <c r="AV65" i="1"/>
  <c r="AN65" i="1"/>
  <c r="AV64" i="1"/>
  <c r="AN64" i="1"/>
  <c r="AV63" i="1"/>
  <c r="AN63" i="1"/>
  <c r="AV62" i="1"/>
  <c r="AN62" i="1"/>
  <c r="AV61" i="1"/>
  <c r="AN61" i="1"/>
  <c r="AV60" i="1"/>
  <c r="AN60" i="1"/>
  <c r="AV59" i="1"/>
  <c r="AN59" i="1"/>
  <c r="AV58" i="1"/>
  <c r="AN58" i="1"/>
  <c r="AV57" i="1"/>
  <c r="AN57" i="1"/>
  <c r="AV56" i="1"/>
  <c r="AN56" i="1"/>
  <c r="AV55" i="1"/>
  <c r="AN55" i="1"/>
  <c r="AV54" i="1"/>
  <c r="AN54" i="1"/>
  <c r="AV6" i="1"/>
  <c r="AN6" i="1"/>
  <c r="AW38" i="1" l="1"/>
  <c r="AX38" i="1" s="1"/>
  <c r="AW46" i="1"/>
  <c r="AX46" i="1" s="1"/>
  <c r="AW30" i="1"/>
  <c r="AX30" i="1" s="1"/>
  <c r="AW10" i="1"/>
  <c r="AX10" i="1" s="1"/>
  <c r="AW22" i="1"/>
  <c r="AX22" i="1" s="1"/>
  <c r="AW80" i="1"/>
  <c r="AX80" i="1" s="1"/>
  <c r="AW47" i="1"/>
  <c r="AX47" i="1" s="1"/>
  <c r="AW18" i="1"/>
  <c r="AX18" i="1" s="1"/>
  <c r="AW81" i="1"/>
  <c r="AX81" i="1" s="1"/>
  <c r="AW9" i="1"/>
  <c r="AX9" i="1" s="1"/>
  <c r="AW11" i="1"/>
  <c r="AX11" i="1" s="1"/>
  <c r="AW20" i="1"/>
  <c r="AX20" i="1" s="1"/>
  <c r="AW28" i="1"/>
  <c r="AX28" i="1" s="1"/>
  <c r="AW7" i="1"/>
  <c r="AX7" i="1" s="1"/>
  <c r="AW33" i="1"/>
  <c r="AX33" i="1" s="1"/>
  <c r="AW40" i="1"/>
  <c r="AX40" i="1" s="1"/>
  <c r="AW78" i="1"/>
  <c r="AX78" i="1" s="1"/>
  <c r="AW50" i="1"/>
  <c r="AX50" i="1" s="1"/>
  <c r="AW42" i="1"/>
  <c r="AX42" i="1" s="1"/>
  <c r="AW48" i="1"/>
  <c r="AX48" i="1" s="1"/>
  <c r="AW23" i="1"/>
  <c r="AX23" i="1" s="1"/>
  <c r="AW19" i="1"/>
  <c r="AX19" i="1" s="1"/>
  <c r="AW13" i="1"/>
  <c r="AX13" i="1" s="1"/>
  <c r="AW44" i="1"/>
  <c r="AX44" i="1" s="1"/>
  <c r="AW26" i="1"/>
  <c r="AX26" i="1" s="1"/>
  <c r="AW53" i="1"/>
  <c r="AX53" i="1" s="1"/>
  <c r="AW21" i="1"/>
  <c r="AX21" i="1" s="1"/>
  <c r="AW17" i="1"/>
  <c r="AX17" i="1" s="1"/>
  <c r="AW14" i="1"/>
  <c r="AX14" i="1" s="1"/>
  <c r="AW31" i="1"/>
  <c r="AX31" i="1" s="1"/>
  <c r="AW12" i="1"/>
  <c r="AX12" i="1" s="1"/>
  <c r="AW77" i="1"/>
  <c r="AX77" i="1" s="1"/>
  <c r="AW8" i="1"/>
  <c r="AX8" i="1" s="1"/>
  <c r="AW16" i="1"/>
  <c r="AX16" i="1" s="1"/>
  <c r="AW39" i="1"/>
  <c r="AX39" i="1" s="1"/>
  <c r="AW82" i="1"/>
  <c r="AX82" i="1" s="1"/>
  <c r="AW24" i="1"/>
  <c r="AX24" i="1" s="1"/>
  <c r="AW79" i="1"/>
  <c r="AX79" i="1" s="1"/>
  <c r="AW51" i="1"/>
  <c r="AX51" i="1" s="1"/>
  <c r="AW29" i="1"/>
  <c r="AX29" i="1" s="1"/>
  <c r="AW15" i="1"/>
  <c r="AX15" i="1" s="1"/>
  <c r="AW43" i="1"/>
  <c r="AX43" i="1" s="1"/>
  <c r="AW52" i="1"/>
  <c r="AX52" i="1" s="1"/>
  <c r="AW32" i="1"/>
  <c r="AX32" i="1" s="1"/>
  <c r="AW41" i="1"/>
  <c r="AX41" i="1" s="1"/>
  <c r="AW49" i="1"/>
  <c r="AX49" i="1" s="1"/>
  <c r="AW34" i="1"/>
  <c r="AX34" i="1" s="1"/>
  <c r="AW36" i="1"/>
  <c r="AX36" i="1" s="1"/>
  <c r="AW25" i="1"/>
  <c r="AX25" i="1" s="1"/>
  <c r="AW37" i="1"/>
  <c r="AX37" i="1" s="1"/>
  <c r="AW45" i="1"/>
  <c r="AX45" i="1" s="1"/>
  <c r="AW27" i="1"/>
  <c r="AX27" i="1" s="1"/>
  <c r="AW35" i="1"/>
  <c r="AX35" i="1" s="1"/>
  <c r="AO9" i="1"/>
  <c r="AP9" i="1" s="1"/>
  <c r="AO17" i="1"/>
  <c r="AP17" i="1" s="1"/>
  <c r="AO82" i="1"/>
  <c r="AP82" i="1" s="1"/>
  <c r="AO33" i="1"/>
  <c r="AP33" i="1" s="1"/>
  <c r="AO25" i="1"/>
  <c r="AP25" i="1" s="1"/>
  <c r="AO37" i="1"/>
  <c r="AP37" i="1" s="1"/>
  <c r="AO53" i="1"/>
  <c r="AP53" i="1" s="1"/>
  <c r="AO15" i="1"/>
  <c r="AP15" i="1" s="1"/>
  <c r="AO24" i="1"/>
  <c r="AP24" i="1" s="1"/>
  <c r="AO26" i="1"/>
  <c r="AP26" i="1" s="1"/>
  <c r="AO34" i="1"/>
  <c r="AP34" i="1" s="1"/>
  <c r="AO39" i="1"/>
  <c r="AP39" i="1" s="1"/>
  <c r="AO46" i="1"/>
  <c r="AP46" i="1" s="1"/>
  <c r="AO11" i="1"/>
  <c r="AP11" i="1" s="1"/>
  <c r="AO78" i="1"/>
  <c r="AP78" i="1" s="1"/>
  <c r="AO8" i="1"/>
  <c r="AP8" i="1" s="1"/>
  <c r="AO10" i="1"/>
  <c r="AP10" i="1" s="1"/>
  <c r="AO51" i="1"/>
  <c r="AP51" i="1" s="1"/>
  <c r="AO31" i="1"/>
  <c r="AP31" i="1" s="1"/>
  <c r="AO81" i="1"/>
  <c r="AP81" i="1" s="1"/>
  <c r="AO80" i="1"/>
  <c r="AP80" i="1" s="1"/>
  <c r="AO32" i="1"/>
  <c r="AP32" i="1" s="1"/>
  <c r="AO19" i="1"/>
  <c r="AP19" i="1" s="1"/>
  <c r="AO42" i="1"/>
  <c r="AP42" i="1" s="1"/>
  <c r="AO45" i="1"/>
  <c r="AP45" i="1" s="1"/>
  <c r="AO7" i="1"/>
  <c r="AP7" i="1" s="1"/>
  <c r="AO23" i="1"/>
  <c r="AP23" i="1" s="1"/>
  <c r="AO77" i="1"/>
  <c r="AP77" i="1" s="1"/>
  <c r="AO27" i="1"/>
  <c r="AP27" i="1" s="1"/>
  <c r="AO48" i="1"/>
  <c r="AP48" i="1" s="1"/>
  <c r="AO41" i="1"/>
  <c r="AP41" i="1" s="1"/>
  <c r="AO44" i="1"/>
  <c r="AP44" i="1" s="1"/>
  <c r="AO18" i="1"/>
  <c r="AP18" i="1" s="1"/>
  <c r="AO12" i="1"/>
  <c r="AP12" i="1" s="1"/>
  <c r="AO40" i="1"/>
  <c r="AP40" i="1" s="1"/>
  <c r="AO21" i="1"/>
  <c r="AP21" i="1" s="1"/>
  <c r="AO52" i="1"/>
  <c r="AP52" i="1" s="1"/>
  <c r="AO79" i="1"/>
  <c r="AP79" i="1" s="1"/>
  <c r="AO20" i="1"/>
  <c r="AP20" i="1" s="1"/>
  <c r="AO30" i="1"/>
  <c r="AP30" i="1" s="1"/>
  <c r="AO50" i="1"/>
  <c r="AP50" i="1" s="1"/>
  <c r="AO43" i="1"/>
  <c r="AP43" i="1" s="1"/>
  <c r="AO22" i="1"/>
  <c r="AP22" i="1" s="1"/>
  <c r="AO35" i="1"/>
  <c r="AP35" i="1" s="1"/>
  <c r="AO13" i="1"/>
  <c r="AP13" i="1" s="1"/>
  <c r="AO16" i="1"/>
  <c r="AP16" i="1" s="1"/>
  <c r="AO38" i="1"/>
  <c r="AP38" i="1" s="1"/>
  <c r="AO47" i="1"/>
  <c r="AP47" i="1" s="1"/>
  <c r="AO49" i="1"/>
  <c r="AP49" i="1" s="1"/>
  <c r="AO36" i="1"/>
  <c r="AP36" i="1" s="1"/>
  <c r="AO28" i="1"/>
  <c r="AP28" i="1" s="1"/>
  <c r="AO29" i="1"/>
  <c r="AP29" i="1" s="1"/>
  <c r="AO14" i="1"/>
  <c r="AP14" i="1" s="1"/>
  <c r="AW56" i="1"/>
  <c r="AX56" i="1" s="1"/>
  <c r="AW68" i="1"/>
  <c r="AX68" i="1" s="1"/>
  <c r="AW57" i="1"/>
  <c r="AX57" i="1" s="1"/>
  <c r="AW69" i="1"/>
  <c r="AX69" i="1" s="1"/>
  <c r="AW63" i="1"/>
  <c r="AX63" i="1" s="1"/>
  <c r="AW58" i="1"/>
  <c r="AX58" i="1" s="1"/>
  <c r="AW70" i="1"/>
  <c r="AX70" i="1" s="1"/>
  <c r="AW59" i="1"/>
  <c r="AX59" i="1" s="1"/>
  <c r="AW71" i="1"/>
  <c r="AX71" i="1" s="1"/>
  <c r="AW75" i="1"/>
  <c r="AX75" i="1" s="1"/>
  <c r="AW76" i="1"/>
  <c r="AX76" i="1" s="1"/>
  <c r="AW60" i="1"/>
  <c r="AX60" i="1" s="1"/>
  <c r="AW72" i="1"/>
  <c r="AX72" i="1" s="1"/>
  <c r="AW62" i="1"/>
  <c r="AX62" i="1" s="1"/>
  <c r="AW64" i="1"/>
  <c r="AX64" i="1" s="1"/>
  <c r="AW61" i="1"/>
  <c r="AX61" i="1" s="1"/>
  <c r="AW73" i="1"/>
  <c r="AX73" i="1" s="1"/>
  <c r="AW74" i="1"/>
  <c r="AX74" i="1" s="1"/>
  <c r="AW65" i="1"/>
  <c r="AX65" i="1" s="1"/>
  <c r="AW6" i="1"/>
  <c r="AW54" i="1"/>
  <c r="AX54" i="1" s="1"/>
  <c r="AW66" i="1"/>
  <c r="AX66" i="1" s="1"/>
  <c r="AW55" i="1"/>
  <c r="AX55" i="1" s="1"/>
  <c r="AW67" i="1"/>
  <c r="AX67" i="1" s="1"/>
  <c r="AO56" i="1"/>
  <c r="AP56" i="1" s="1"/>
  <c r="AO68" i="1"/>
  <c r="AP68" i="1" s="1"/>
  <c r="AO59" i="1"/>
  <c r="AP59" i="1" s="1"/>
  <c r="AO57" i="1"/>
  <c r="AP57" i="1" s="1"/>
  <c r="AO69" i="1"/>
  <c r="AP69" i="1" s="1"/>
  <c r="AO71" i="1"/>
  <c r="AP71" i="1" s="1"/>
  <c r="AO58" i="1"/>
  <c r="AP58" i="1" s="1"/>
  <c r="AO60" i="1"/>
  <c r="AP60" i="1" s="1"/>
  <c r="AO72" i="1"/>
  <c r="AP72" i="1" s="1"/>
  <c r="AO61" i="1"/>
  <c r="AP61" i="1" s="1"/>
  <c r="AO73" i="1"/>
  <c r="AP73" i="1" s="1"/>
  <c r="AO62" i="1"/>
  <c r="AP62" i="1" s="1"/>
  <c r="AO74" i="1"/>
  <c r="AP74" i="1" s="1"/>
  <c r="AO65" i="1"/>
  <c r="AP65" i="1" s="1"/>
  <c r="AO63" i="1"/>
  <c r="AP63" i="1" s="1"/>
  <c r="AO75" i="1"/>
  <c r="AP75" i="1" s="1"/>
  <c r="AO64" i="1"/>
  <c r="AP64" i="1" s="1"/>
  <c r="AO76" i="1"/>
  <c r="AP76" i="1" s="1"/>
  <c r="AO6" i="1"/>
  <c r="AO54" i="1"/>
  <c r="AP54" i="1" s="1"/>
  <c r="AO66" i="1"/>
  <c r="AP66" i="1" s="1"/>
  <c r="AO70" i="1"/>
  <c r="AP70" i="1" s="1"/>
  <c r="AO55" i="1"/>
  <c r="AP55" i="1" s="1"/>
  <c r="AO67" i="1"/>
  <c r="AP67" i="1" s="1"/>
  <c r="AE54" i="1" l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" i="1"/>
  <c r="S7" i="7" l="1"/>
  <c r="U8" i="1" s="1"/>
  <c r="S8" i="7"/>
  <c r="U9" i="1" s="1"/>
  <c r="S9" i="7"/>
  <c r="S10" i="7"/>
  <c r="U11" i="1" s="1"/>
  <c r="S11" i="7"/>
  <c r="S12" i="7"/>
  <c r="U13" i="1" s="1"/>
  <c r="S13" i="7"/>
  <c r="S14" i="7"/>
  <c r="S15" i="7"/>
  <c r="S16" i="7"/>
  <c r="U17" i="1" s="1"/>
  <c r="S17" i="7"/>
  <c r="S18" i="7"/>
  <c r="S19" i="7"/>
  <c r="U20" i="1" s="1"/>
  <c r="S20" i="7"/>
  <c r="U21" i="1" s="1"/>
  <c r="S21" i="7"/>
  <c r="S22" i="7"/>
  <c r="U23" i="1" s="1"/>
  <c r="V23" i="1" s="1"/>
  <c r="S23" i="7"/>
  <c r="S24" i="7"/>
  <c r="U25" i="1" s="1"/>
  <c r="S25" i="7"/>
  <c r="S26" i="7"/>
  <c r="S27" i="7"/>
  <c r="U28" i="1" s="1"/>
  <c r="S28" i="7"/>
  <c r="U29" i="1" s="1"/>
  <c r="S29" i="7"/>
  <c r="S30" i="7"/>
  <c r="S31" i="7"/>
  <c r="U32" i="1" s="1"/>
  <c r="S32" i="7"/>
  <c r="S33" i="7"/>
  <c r="S34" i="7"/>
  <c r="S35" i="7"/>
  <c r="S36" i="7"/>
  <c r="S37" i="7"/>
  <c r="S38" i="7"/>
  <c r="U39" i="1" s="1"/>
  <c r="S39" i="7"/>
  <c r="U40" i="1" s="1"/>
  <c r="S40" i="7"/>
  <c r="U41" i="1" s="1"/>
  <c r="S41" i="7"/>
  <c r="S42" i="7"/>
  <c r="U43" i="1" s="1"/>
  <c r="S43" i="7"/>
  <c r="S44" i="7"/>
  <c r="U45" i="1" s="1"/>
  <c r="S45" i="7"/>
  <c r="U46" i="1" s="1"/>
  <c r="S46" i="7"/>
  <c r="S47" i="7"/>
  <c r="S48" i="7"/>
  <c r="U49" i="1" s="1"/>
  <c r="S49" i="7"/>
  <c r="S50" i="7"/>
  <c r="S51" i="7"/>
  <c r="U52" i="1" s="1"/>
  <c r="S52" i="7"/>
  <c r="U53" i="1" s="1"/>
  <c r="S53" i="7"/>
  <c r="AJ53" i="7" s="1"/>
  <c r="AY54" i="1" s="1"/>
  <c r="AZ54" i="1" s="1"/>
  <c r="S54" i="7"/>
  <c r="AJ54" i="7" s="1"/>
  <c r="AY55" i="1" s="1"/>
  <c r="AZ55" i="1" s="1"/>
  <c r="S55" i="7"/>
  <c r="AJ55" i="7" s="1"/>
  <c r="AY56" i="1" s="1"/>
  <c r="AZ56" i="1" s="1"/>
  <c r="S56" i="7"/>
  <c r="S57" i="7"/>
  <c r="AJ57" i="7" s="1"/>
  <c r="AY58" i="1" s="1"/>
  <c r="AZ58" i="1" s="1"/>
  <c r="S58" i="7"/>
  <c r="AJ58" i="7" s="1"/>
  <c r="AY59" i="1" s="1"/>
  <c r="AZ59" i="1" s="1"/>
  <c r="S59" i="7"/>
  <c r="S60" i="7"/>
  <c r="S61" i="7"/>
  <c r="AJ61" i="7" s="1"/>
  <c r="AY62" i="1" s="1"/>
  <c r="AZ62" i="1" s="1"/>
  <c r="S62" i="7"/>
  <c r="AJ62" i="7" s="1"/>
  <c r="AY63" i="1" s="1"/>
  <c r="AZ63" i="1" s="1"/>
  <c r="S63" i="7"/>
  <c r="S64" i="7"/>
  <c r="AJ64" i="7" s="1"/>
  <c r="AY65" i="1" s="1"/>
  <c r="AZ65" i="1" s="1"/>
  <c r="S65" i="7"/>
  <c r="AJ65" i="7" s="1"/>
  <c r="AY66" i="1" s="1"/>
  <c r="AZ66" i="1" s="1"/>
  <c r="U65" i="1"/>
  <c r="V9" i="1" l="1"/>
  <c r="V43" i="1"/>
  <c r="V11" i="1"/>
  <c r="V65" i="1"/>
  <c r="V21" i="1"/>
  <c r="V32" i="1"/>
  <c r="V41" i="1"/>
  <c r="V29" i="1"/>
  <c r="V17" i="1"/>
  <c r="V20" i="1"/>
  <c r="V53" i="1"/>
  <c r="V52" i="1"/>
  <c r="V40" i="1"/>
  <c r="V28" i="1"/>
  <c r="V46" i="1"/>
  <c r="V39" i="1"/>
  <c r="V45" i="1"/>
  <c r="V8" i="1"/>
  <c r="V49" i="1"/>
  <c r="V25" i="1"/>
  <c r="V13" i="1"/>
  <c r="AJ34" i="7"/>
  <c r="AY35" i="1" s="1"/>
  <c r="AZ35" i="1" s="1"/>
  <c r="U35" i="1"/>
  <c r="AJ33" i="7"/>
  <c r="AY34" i="1" s="1"/>
  <c r="AZ34" i="1" s="1"/>
  <c r="U34" i="1"/>
  <c r="AJ30" i="7"/>
  <c r="AY31" i="1" s="1"/>
  <c r="AZ31" i="1" s="1"/>
  <c r="U31" i="1"/>
  <c r="AJ18" i="7"/>
  <c r="AY19" i="1" s="1"/>
  <c r="AZ19" i="1" s="1"/>
  <c r="U19" i="1"/>
  <c r="AJ22" i="7"/>
  <c r="AY23" i="1" s="1"/>
  <c r="AZ23" i="1" s="1"/>
  <c r="AJ41" i="7"/>
  <c r="AY42" i="1" s="1"/>
  <c r="AZ42" i="1" s="1"/>
  <c r="U42" i="1"/>
  <c r="AJ29" i="7"/>
  <c r="AY30" i="1" s="1"/>
  <c r="AZ30" i="1" s="1"/>
  <c r="U30" i="1"/>
  <c r="AJ17" i="7"/>
  <c r="AY18" i="1" s="1"/>
  <c r="AZ18" i="1" s="1"/>
  <c r="U18" i="1"/>
  <c r="AJ21" i="7"/>
  <c r="AY22" i="1" s="1"/>
  <c r="AZ22" i="1" s="1"/>
  <c r="U22" i="1"/>
  <c r="U58" i="1"/>
  <c r="AJ32" i="7"/>
  <c r="AY33" i="1" s="1"/>
  <c r="AZ33" i="1" s="1"/>
  <c r="U33" i="1"/>
  <c r="U56" i="1"/>
  <c r="AJ15" i="7"/>
  <c r="AY16" i="1" s="1"/>
  <c r="AZ16" i="1" s="1"/>
  <c r="U16" i="1"/>
  <c r="AJ50" i="7"/>
  <c r="AY51" i="1" s="1"/>
  <c r="AZ51" i="1" s="1"/>
  <c r="U51" i="1"/>
  <c r="AJ26" i="7"/>
  <c r="AY27" i="1" s="1"/>
  <c r="AZ27" i="1" s="1"/>
  <c r="U27" i="1"/>
  <c r="AJ14" i="7"/>
  <c r="AY15" i="1" s="1"/>
  <c r="AZ15" i="1" s="1"/>
  <c r="U15" i="1"/>
  <c r="AJ49" i="7"/>
  <c r="AY50" i="1" s="1"/>
  <c r="AZ50" i="1" s="1"/>
  <c r="U50" i="1"/>
  <c r="AJ37" i="7"/>
  <c r="AY38" i="1" s="1"/>
  <c r="AZ38" i="1" s="1"/>
  <c r="U38" i="1"/>
  <c r="AJ25" i="7"/>
  <c r="AY26" i="1" s="1"/>
  <c r="AZ26" i="1" s="1"/>
  <c r="U26" i="1"/>
  <c r="AJ13" i="7"/>
  <c r="AY14" i="1" s="1"/>
  <c r="AZ14" i="1" s="1"/>
  <c r="U14" i="1"/>
  <c r="AJ9" i="7"/>
  <c r="AY10" i="1" s="1"/>
  <c r="AZ10" i="1" s="1"/>
  <c r="U10" i="1"/>
  <c r="AJ46" i="7"/>
  <c r="AY47" i="1" s="1"/>
  <c r="AZ47" i="1" s="1"/>
  <c r="U47" i="1"/>
  <c r="AJ43" i="7"/>
  <c r="AY44" i="1" s="1"/>
  <c r="AZ44" i="1" s="1"/>
  <c r="U44" i="1"/>
  <c r="AJ36" i="7"/>
  <c r="AY37" i="1" s="1"/>
  <c r="AZ37" i="1" s="1"/>
  <c r="U37" i="1"/>
  <c r="AJ47" i="7"/>
  <c r="AY48" i="1" s="1"/>
  <c r="AZ48" i="1" s="1"/>
  <c r="U48" i="1"/>
  <c r="AJ35" i="7"/>
  <c r="AY36" i="1" s="1"/>
  <c r="AZ36" i="1" s="1"/>
  <c r="U36" i="1"/>
  <c r="AJ23" i="7"/>
  <c r="AY24" i="1" s="1"/>
  <c r="AZ24" i="1" s="1"/>
  <c r="U24" i="1"/>
  <c r="AJ11" i="7"/>
  <c r="AY12" i="1" s="1"/>
  <c r="AZ12" i="1" s="1"/>
  <c r="U12" i="1"/>
  <c r="U54" i="1"/>
  <c r="U63" i="1"/>
  <c r="AJ45" i="7"/>
  <c r="AY46" i="1" s="1"/>
  <c r="AZ46" i="1" s="1"/>
  <c r="U66" i="1"/>
  <c r="U61" i="1"/>
  <c r="AJ60" i="7"/>
  <c r="AY61" i="1" s="1"/>
  <c r="AZ61" i="1" s="1"/>
  <c r="U57" i="1"/>
  <c r="AJ56" i="7"/>
  <c r="AY57" i="1" s="1"/>
  <c r="AZ57" i="1" s="1"/>
  <c r="AJ52" i="7"/>
  <c r="AY53" i="1" s="1"/>
  <c r="AZ53" i="1" s="1"/>
  <c r="AJ48" i="7"/>
  <c r="AY49" i="1" s="1"/>
  <c r="AZ49" i="1" s="1"/>
  <c r="AJ44" i="7"/>
  <c r="AY45" i="1" s="1"/>
  <c r="AZ45" i="1" s="1"/>
  <c r="AJ40" i="7"/>
  <c r="AY41" i="1" s="1"/>
  <c r="AZ41" i="1" s="1"/>
  <c r="AJ28" i="7"/>
  <c r="AY29" i="1" s="1"/>
  <c r="AZ29" i="1" s="1"/>
  <c r="AJ24" i="7"/>
  <c r="AY25" i="1" s="1"/>
  <c r="AZ25" i="1" s="1"/>
  <c r="AJ20" i="7"/>
  <c r="AY21" i="1" s="1"/>
  <c r="AZ21" i="1" s="1"/>
  <c r="AJ16" i="7"/>
  <c r="AY17" i="1" s="1"/>
  <c r="AZ17" i="1" s="1"/>
  <c r="AJ12" i="7"/>
  <c r="AY13" i="1" s="1"/>
  <c r="AZ13" i="1" s="1"/>
  <c r="AJ8" i="7"/>
  <c r="AY9" i="1" s="1"/>
  <c r="AZ9" i="1" s="1"/>
  <c r="AJ42" i="7"/>
  <c r="AY43" i="1" s="1"/>
  <c r="AZ43" i="1" s="1"/>
  <c r="AJ38" i="7"/>
  <c r="AY39" i="1" s="1"/>
  <c r="AZ39" i="1" s="1"/>
  <c r="U59" i="1"/>
  <c r="U62" i="1"/>
  <c r="U55" i="1"/>
  <c r="U64" i="1"/>
  <c r="AJ63" i="7"/>
  <c r="AY64" i="1" s="1"/>
  <c r="AZ64" i="1" s="1"/>
  <c r="U60" i="1"/>
  <c r="AJ59" i="7"/>
  <c r="AY60" i="1" s="1"/>
  <c r="AZ60" i="1" s="1"/>
  <c r="AJ51" i="7"/>
  <c r="AY52" i="1" s="1"/>
  <c r="AZ52" i="1" s="1"/>
  <c r="AJ39" i="7"/>
  <c r="AY40" i="1" s="1"/>
  <c r="AZ40" i="1" s="1"/>
  <c r="AJ31" i="7"/>
  <c r="AY32" i="1" s="1"/>
  <c r="AZ32" i="1" s="1"/>
  <c r="AJ27" i="7"/>
  <c r="AY28" i="1" s="1"/>
  <c r="AZ28" i="1" s="1"/>
  <c r="AJ19" i="7"/>
  <c r="AY20" i="1" s="1"/>
  <c r="AZ20" i="1" s="1"/>
  <c r="AJ7" i="7"/>
  <c r="AY8" i="1" s="1"/>
  <c r="AZ8" i="1" s="1"/>
  <c r="AJ10" i="7"/>
  <c r="AY11" i="1" s="1"/>
  <c r="AZ11" i="1" s="1"/>
  <c r="V54" i="1" l="1"/>
  <c r="V58" i="1"/>
  <c r="V31" i="1"/>
  <c r="V64" i="1"/>
  <c r="V12" i="1"/>
  <c r="V47" i="1"/>
  <c r="V15" i="1"/>
  <c r="V22" i="1"/>
  <c r="V14" i="1"/>
  <c r="V30" i="1"/>
  <c r="V57" i="1"/>
  <c r="V55" i="1"/>
  <c r="V34" i="1"/>
  <c r="V24" i="1"/>
  <c r="V35" i="1"/>
  <c r="V36" i="1"/>
  <c r="V26" i="1"/>
  <c r="V16" i="1"/>
  <c r="V42" i="1"/>
  <c r="V27" i="1"/>
  <c r="V61" i="1"/>
  <c r="V62" i="1"/>
  <c r="V10" i="1"/>
  <c r="V18" i="1"/>
  <c r="V59" i="1"/>
  <c r="V51" i="1"/>
  <c r="V48" i="1"/>
  <c r="V66" i="1"/>
  <c r="V37" i="1"/>
  <c r="V38" i="1"/>
  <c r="V56" i="1"/>
  <c r="V33" i="1"/>
  <c r="V19" i="1"/>
  <c r="V60" i="1"/>
  <c r="V63" i="1"/>
  <c r="V44" i="1"/>
  <c r="V50" i="1"/>
  <c r="S6" i="7"/>
  <c r="U7" i="1" s="1"/>
  <c r="V7" i="1" s="1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" i="7"/>
  <c r="AJ6" i="7" l="1"/>
  <c r="AY7" i="1" s="1"/>
  <c r="AZ7" i="1" s="1"/>
  <c r="C13" i="5" l="1"/>
  <c r="R54" i="1" l="1"/>
  <c r="R55" i="1"/>
  <c r="R56" i="1"/>
  <c r="R57" i="1"/>
  <c r="R58" i="1"/>
  <c r="R59" i="1"/>
  <c r="R60" i="1"/>
  <c r="R61" i="1"/>
  <c r="R62" i="1"/>
  <c r="R63" i="1"/>
  <c r="R64" i="1"/>
  <c r="R65" i="1"/>
  <c r="R66" i="1"/>
  <c r="R6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" i="1"/>
  <c r="K6" i="1" s="1"/>
  <c r="S19" i="1" l="1"/>
  <c r="T19" i="1" s="1"/>
  <c r="S31" i="1"/>
  <c r="T31" i="1" s="1"/>
  <c r="S43" i="1"/>
  <c r="T43" i="1" s="1"/>
  <c r="S55" i="1"/>
  <c r="T55" i="1" s="1"/>
  <c r="S67" i="1"/>
  <c r="T67" i="1" s="1"/>
  <c r="S79" i="1"/>
  <c r="T79" i="1" s="1"/>
  <c r="S8" i="1"/>
  <c r="T8" i="1" s="1"/>
  <c r="S20" i="1"/>
  <c r="T20" i="1" s="1"/>
  <c r="S32" i="1"/>
  <c r="T32" i="1" s="1"/>
  <c r="S44" i="1"/>
  <c r="T44" i="1" s="1"/>
  <c r="S56" i="1"/>
  <c r="T56" i="1" s="1"/>
  <c r="S68" i="1"/>
  <c r="T68" i="1" s="1"/>
  <c r="S80" i="1"/>
  <c r="T80" i="1" s="1"/>
  <c r="S63" i="1"/>
  <c r="T63" i="1" s="1"/>
  <c r="S66" i="1"/>
  <c r="T66" i="1" s="1"/>
  <c r="S9" i="1"/>
  <c r="T9" i="1" s="1"/>
  <c r="S21" i="1"/>
  <c r="T21" i="1" s="1"/>
  <c r="S33" i="1"/>
  <c r="T33" i="1" s="1"/>
  <c r="S45" i="1"/>
  <c r="T45" i="1" s="1"/>
  <c r="S57" i="1"/>
  <c r="T57" i="1" s="1"/>
  <c r="S69" i="1"/>
  <c r="T69" i="1" s="1"/>
  <c r="S81" i="1"/>
  <c r="T81" i="1" s="1"/>
  <c r="S11" i="1"/>
  <c r="T11" i="1" s="1"/>
  <c r="S35" i="1"/>
  <c r="T35" i="1" s="1"/>
  <c r="S59" i="1"/>
  <c r="T59" i="1" s="1"/>
  <c r="S37" i="1"/>
  <c r="T37" i="1" s="1"/>
  <c r="S73" i="1"/>
  <c r="T73" i="1" s="1"/>
  <c r="S75" i="1"/>
  <c r="T75" i="1" s="1"/>
  <c r="S77" i="1"/>
  <c r="T77" i="1" s="1"/>
  <c r="S30" i="1"/>
  <c r="T30" i="1" s="1"/>
  <c r="S10" i="1"/>
  <c r="T10" i="1" s="1"/>
  <c r="S22" i="1"/>
  <c r="T22" i="1" s="1"/>
  <c r="S34" i="1"/>
  <c r="T34" i="1" s="1"/>
  <c r="S46" i="1"/>
  <c r="T46" i="1" s="1"/>
  <c r="S58" i="1"/>
  <c r="T58" i="1" s="1"/>
  <c r="S70" i="1"/>
  <c r="T70" i="1" s="1"/>
  <c r="S82" i="1"/>
  <c r="T82" i="1" s="1"/>
  <c r="S23" i="1"/>
  <c r="T23" i="1" s="1"/>
  <c r="S47" i="1"/>
  <c r="T47" i="1" s="1"/>
  <c r="S71" i="1"/>
  <c r="T71" i="1" s="1"/>
  <c r="S13" i="1"/>
  <c r="T13" i="1" s="1"/>
  <c r="S49" i="1"/>
  <c r="T49" i="1" s="1"/>
  <c r="S53" i="1"/>
  <c r="T53" i="1" s="1"/>
  <c r="S54" i="1"/>
  <c r="T54" i="1" s="1"/>
  <c r="S12" i="1"/>
  <c r="T12" i="1" s="1"/>
  <c r="S24" i="1"/>
  <c r="T24" i="1" s="1"/>
  <c r="S36" i="1"/>
  <c r="T36" i="1" s="1"/>
  <c r="S48" i="1"/>
  <c r="T48" i="1" s="1"/>
  <c r="S60" i="1"/>
  <c r="T60" i="1" s="1"/>
  <c r="S72" i="1"/>
  <c r="T72" i="1" s="1"/>
  <c r="S25" i="1"/>
  <c r="T25" i="1" s="1"/>
  <c r="S61" i="1"/>
  <c r="T61" i="1" s="1"/>
  <c r="S51" i="1"/>
  <c r="T51" i="1" s="1"/>
  <c r="S14" i="1"/>
  <c r="T14" i="1" s="1"/>
  <c r="S26" i="1"/>
  <c r="T26" i="1" s="1"/>
  <c r="S38" i="1"/>
  <c r="T38" i="1" s="1"/>
  <c r="S50" i="1"/>
  <c r="T50" i="1" s="1"/>
  <c r="S62" i="1"/>
  <c r="T62" i="1" s="1"/>
  <c r="S74" i="1"/>
  <c r="T74" i="1" s="1"/>
  <c r="S15" i="1"/>
  <c r="T15" i="1" s="1"/>
  <c r="S27" i="1"/>
  <c r="T27" i="1" s="1"/>
  <c r="S39" i="1"/>
  <c r="T39" i="1" s="1"/>
  <c r="S41" i="1"/>
  <c r="T41" i="1" s="1"/>
  <c r="S42" i="1"/>
  <c r="T42" i="1" s="1"/>
  <c r="S16" i="1"/>
  <c r="T16" i="1" s="1"/>
  <c r="S28" i="1"/>
  <c r="T28" i="1" s="1"/>
  <c r="S40" i="1"/>
  <c r="T40" i="1" s="1"/>
  <c r="S52" i="1"/>
  <c r="T52" i="1" s="1"/>
  <c r="S64" i="1"/>
  <c r="T64" i="1" s="1"/>
  <c r="S76" i="1"/>
  <c r="T76" i="1" s="1"/>
  <c r="S17" i="1"/>
  <c r="T17" i="1" s="1"/>
  <c r="S29" i="1"/>
  <c r="T29" i="1" s="1"/>
  <c r="S65" i="1"/>
  <c r="T65" i="1" s="1"/>
  <c r="S18" i="1"/>
  <c r="T18" i="1" s="1"/>
  <c r="S78" i="1"/>
  <c r="T78" i="1" s="1"/>
  <c r="S7" i="1"/>
  <c r="T7" i="1" s="1"/>
  <c r="K31" i="1"/>
  <c r="L31" i="1" s="1"/>
  <c r="K33" i="1"/>
  <c r="L33" i="1" s="1"/>
  <c r="K77" i="1"/>
  <c r="L77" i="1" s="1"/>
  <c r="K79" i="1"/>
  <c r="L79" i="1" s="1"/>
  <c r="K81" i="1"/>
  <c r="L81" i="1" s="1"/>
  <c r="K35" i="1"/>
  <c r="L35" i="1" s="1"/>
  <c r="K37" i="1"/>
  <c r="L37" i="1" s="1"/>
  <c r="K39" i="1"/>
  <c r="L39" i="1" s="1"/>
  <c r="K41" i="1"/>
  <c r="L41" i="1" s="1"/>
  <c r="K47" i="1"/>
  <c r="L47" i="1" s="1"/>
  <c r="K43" i="1"/>
  <c r="L43" i="1" s="1"/>
  <c r="K45" i="1"/>
  <c r="L45" i="1" s="1"/>
  <c r="K53" i="1"/>
  <c r="L53" i="1" s="1"/>
  <c r="K78" i="1"/>
  <c r="L78" i="1" s="1"/>
  <c r="K80" i="1"/>
  <c r="L80" i="1" s="1"/>
  <c r="K9" i="1"/>
  <c r="L9" i="1" s="1"/>
  <c r="K11" i="1"/>
  <c r="L11" i="1" s="1"/>
  <c r="K13" i="1"/>
  <c r="L13" i="1" s="1"/>
  <c r="K49" i="1"/>
  <c r="L49" i="1" s="1"/>
  <c r="K82" i="1"/>
  <c r="L82" i="1" s="1"/>
  <c r="K15" i="1"/>
  <c r="L15" i="1" s="1"/>
  <c r="K17" i="1"/>
  <c r="L17" i="1" s="1"/>
  <c r="K51" i="1"/>
  <c r="L51" i="1" s="1"/>
  <c r="K19" i="1"/>
  <c r="L19" i="1" s="1"/>
  <c r="K21" i="1"/>
  <c r="L21" i="1" s="1"/>
  <c r="K23" i="1"/>
  <c r="L23" i="1" s="1"/>
  <c r="K25" i="1"/>
  <c r="L25" i="1" s="1"/>
  <c r="K27" i="1"/>
  <c r="L27" i="1" s="1"/>
  <c r="K29" i="1"/>
  <c r="L29" i="1" s="1"/>
  <c r="K12" i="1"/>
  <c r="L12" i="1" s="1"/>
  <c r="K32" i="1"/>
  <c r="L32" i="1" s="1"/>
  <c r="K20" i="1"/>
  <c r="L20" i="1" s="1"/>
  <c r="K10" i="1"/>
  <c r="L10" i="1" s="1"/>
  <c r="K40" i="1"/>
  <c r="L40" i="1" s="1"/>
  <c r="K30" i="1"/>
  <c r="L30" i="1" s="1"/>
  <c r="K18" i="1"/>
  <c r="L18" i="1" s="1"/>
  <c r="K50" i="1"/>
  <c r="L50" i="1" s="1"/>
  <c r="K38" i="1"/>
  <c r="L38" i="1" s="1"/>
  <c r="K7" i="1"/>
  <c r="L7" i="1" s="1"/>
  <c r="K48" i="1"/>
  <c r="L48" i="1" s="1"/>
  <c r="K52" i="1"/>
  <c r="L52" i="1" s="1"/>
  <c r="K28" i="1"/>
  <c r="L28" i="1" s="1"/>
  <c r="K46" i="1"/>
  <c r="L46" i="1" s="1"/>
  <c r="K26" i="1"/>
  <c r="L26" i="1" s="1"/>
  <c r="K44" i="1"/>
  <c r="L44" i="1" s="1"/>
  <c r="K42" i="1"/>
  <c r="L42" i="1" s="1"/>
  <c r="K36" i="1"/>
  <c r="L36" i="1" s="1"/>
  <c r="K8" i="1"/>
  <c r="L8" i="1" s="1"/>
  <c r="K16" i="1"/>
  <c r="L16" i="1" s="1"/>
  <c r="K34" i="1"/>
  <c r="L34" i="1" s="1"/>
  <c r="K14" i="1"/>
  <c r="L14" i="1" s="1"/>
  <c r="K24" i="1"/>
  <c r="L24" i="1" s="1"/>
  <c r="K22" i="1"/>
  <c r="L22" i="1" s="1"/>
  <c r="K68" i="1"/>
  <c r="L68" i="1" s="1"/>
  <c r="K75" i="1"/>
  <c r="L75" i="1" s="1"/>
  <c r="K72" i="1"/>
  <c r="L72" i="1" s="1"/>
  <c r="K67" i="1"/>
  <c r="L67" i="1" s="1"/>
  <c r="K70" i="1"/>
  <c r="L70" i="1" s="1"/>
  <c r="K71" i="1"/>
  <c r="L71" i="1" s="1"/>
  <c r="K76" i="1"/>
  <c r="L76" i="1" s="1"/>
  <c r="K73" i="1"/>
  <c r="L73" i="1" s="1"/>
  <c r="K74" i="1"/>
  <c r="L74" i="1" s="1"/>
  <c r="K69" i="1"/>
  <c r="L69" i="1" s="1"/>
  <c r="S6" i="1"/>
  <c r="K66" i="1"/>
  <c r="L66" i="1" s="1"/>
  <c r="K62" i="1"/>
  <c r="L62" i="1" s="1"/>
  <c r="K54" i="1"/>
  <c r="L54" i="1" s="1"/>
  <c r="K65" i="1"/>
  <c r="L65" i="1" s="1"/>
  <c r="K61" i="1"/>
  <c r="L61" i="1" s="1"/>
  <c r="K57" i="1"/>
  <c r="L57" i="1" s="1"/>
  <c r="K64" i="1"/>
  <c r="L64" i="1" s="1"/>
  <c r="K60" i="1"/>
  <c r="L60" i="1" s="1"/>
  <c r="K56" i="1"/>
  <c r="L56" i="1" s="1"/>
  <c r="K63" i="1"/>
  <c r="L63" i="1" s="1"/>
  <c r="K59" i="1"/>
  <c r="L59" i="1" s="1"/>
  <c r="K55" i="1"/>
  <c r="L55" i="1" s="1"/>
  <c r="K58" i="1"/>
  <c r="L58" i="1" s="1"/>
  <c r="B10" i="5"/>
  <c r="A7" i="5"/>
  <c r="A6" i="5"/>
  <c r="B7" i="4"/>
  <c r="AG15" i="1" l="1"/>
  <c r="BI15" i="1" s="1"/>
  <c r="AG29" i="1"/>
  <c r="BI29" i="1" s="1"/>
  <c r="AG70" i="1"/>
  <c r="BI70" i="1" s="1"/>
  <c r="AG78" i="1"/>
  <c r="BI78" i="1" s="1"/>
  <c r="AG18" i="1"/>
  <c r="BI18" i="1" s="1"/>
  <c r="AG76" i="1"/>
  <c r="BI76" i="1" s="1"/>
  <c r="AG24" i="1"/>
  <c r="BI24" i="1" s="1"/>
  <c r="AG46" i="1"/>
  <c r="BI46" i="1" s="1"/>
  <c r="AG81" i="1"/>
  <c r="BI81" i="1" s="1"/>
  <c r="AG44" i="1"/>
  <c r="BI44" i="1" s="1"/>
  <c r="AG48" i="1"/>
  <c r="BI48" i="1" s="1"/>
  <c r="AG64" i="1"/>
  <c r="BI64" i="1" s="1"/>
  <c r="AG50" i="1"/>
  <c r="BI50" i="1" s="1"/>
  <c r="AG34" i="1"/>
  <c r="BI34" i="1" s="1"/>
  <c r="AG69" i="1"/>
  <c r="BI69" i="1" s="1"/>
  <c r="AG32" i="1"/>
  <c r="BI32" i="1" s="1"/>
  <c r="AG35" i="1"/>
  <c r="BI35" i="1" s="1"/>
  <c r="K42" i="4" s="1"/>
  <c r="AG68" i="1"/>
  <c r="BI68" i="1" s="1"/>
  <c r="AG17" i="1"/>
  <c r="BI17" i="1" s="1"/>
  <c r="AG74" i="1"/>
  <c r="BI74" i="1" s="1"/>
  <c r="AG36" i="1"/>
  <c r="BI36" i="1" s="1"/>
  <c r="AG58" i="1"/>
  <c r="BI58" i="1" s="1"/>
  <c r="AG11" i="1"/>
  <c r="BI11" i="1" s="1"/>
  <c r="AG56" i="1"/>
  <c r="BI56" i="1" s="1"/>
  <c r="AG52" i="1"/>
  <c r="BI52" i="1" s="1"/>
  <c r="AG38" i="1"/>
  <c r="BI38" i="1" s="1"/>
  <c r="AG54" i="1"/>
  <c r="BI54" i="1" s="1"/>
  <c r="AG22" i="1"/>
  <c r="BI22" i="1" s="1"/>
  <c r="AG57" i="1"/>
  <c r="BI57" i="1" s="1"/>
  <c r="AG20" i="1"/>
  <c r="BI20" i="1" s="1"/>
  <c r="AG40" i="1"/>
  <c r="BI40" i="1" s="1"/>
  <c r="AG26" i="1"/>
  <c r="BI26" i="1" s="1"/>
  <c r="AG53" i="1"/>
  <c r="BI53" i="1" s="1"/>
  <c r="AG10" i="1"/>
  <c r="BI10" i="1" s="1"/>
  <c r="AG45" i="1"/>
  <c r="BI45" i="1" s="1"/>
  <c r="AG8" i="1"/>
  <c r="BI8" i="1" s="1"/>
  <c r="AG28" i="1"/>
  <c r="BI28" i="1" s="1"/>
  <c r="AG14" i="1"/>
  <c r="BI14" i="1" s="1"/>
  <c r="AG49" i="1"/>
  <c r="BI49" i="1" s="1"/>
  <c r="AG30" i="1"/>
  <c r="BI30" i="1" s="1"/>
  <c r="AG33" i="1"/>
  <c r="BI33" i="1" s="1"/>
  <c r="AG79" i="1"/>
  <c r="BI79" i="1" s="1"/>
  <c r="AG12" i="1"/>
  <c r="BI12" i="1" s="1"/>
  <c r="AG16" i="1"/>
  <c r="BI16" i="1" s="1"/>
  <c r="AG51" i="1"/>
  <c r="BI51" i="1" s="1"/>
  <c r="AG13" i="1"/>
  <c r="BI13" i="1" s="1"/>
  <c r="AG77" i="1"/>
  <c r="BI77" i="1" s="1"/>
  <c r="AG21" i="1"/>
  <c r="BI21" i="1" s="1"/>
  <c r="AG67" i="1"/>
  <c r="BI67" i="1" s="1"/>
  <c r="AG7" i="1"/>
  <c r="BI7" i="1" s="1"/>
  <c r="AG42" i="1"/>
  <c r="BI42" i="1" s="1"/>
  <c r="AG61" i="1"/>
  <c r="BI61" i="1" s="1"/>
  <c r="AG71" i="1"/>
  <c r="BI71" i="1" s="1"/>
  <c r="AG75" i="1"/>
  <c r="BI75" i="1" s="1"/>
  <c r="AG9" i="1"/>
  <c r="BI9" i="1" s="1"/>
  <c r="AG55" i="1"/>
  <c r="BI55" i="1" s="1"/>
  <c r="AG41" i="1"/>
  <c r="BI41" i="1" s="1"/>
  <c r="AG25" i="1"/>
  <c r="BI25" i="1" s="1"/>
  <c r="AG47" i="1"/>
  <c r="BI47" i="1" s="1"/>
  <c r="AG73" i="1"/>
  <c r="BI73" i="1" s="1"/>
  <c r="AG66" i="1"/>
  <c r="BI66" i="1" s="1"/>
  <c r="AG43" i="1"/>
  <c r="BI43" i="1" s="1"/>
  <c r="AG39" i="1"/>
  <c r="BI39" i="1" s="1"/>
  <c r="AG72" i="1"/>
  <c r="BI72" i="1" s="1"/>
  <c r="AG23" i="1"/>
  <c r="BI23" i="1" s="1"/>
  <c r="AG37" i="1"/>
  <c r="BI37" i="1" s="1"/>
  <c r="AG63" i="1"/>
  <c r="BI63" i="1" s="1"/>
  <c r="AG31" i="1"/>
  <c r="BI31" i="1" s="1"/>
  <c r="AG62" i="1"/>
  <c r="BI62" i="1" s="1"/>
  <c r="AG65" i="1"/>
  <c r="BI65" i="1" s="1"/>
  <c r="AG27" i="1"/>
  <c r="BI27" i="1" s="1"/>
  <c r="AG60" i="1"/>
  <c r="BI60" i="1" s="1"/>
  <c r="AG82" i="1"/>
  <c r="BI82" i="1" s="1"/>
  <c r="AG59" i="1"/>
  <c r="BI59" i="1" s="1"/>
  <c r="AG80" i="1"/>
  <c r="BI80" i="1" s="1"/>
  <c r="K87" i="4" s="1"/>
  <c r="L87" i="4" s="1"/>
  <c r="AG19" i="1"/>
  <c r="BI19" i="1" s="1"/>
  <c r="F36" i="4" l="1"/>
  <c r="F22" i="4"/>
  <c r="F43" i="4"/>
  <c r="F25" i="4"/>
  <c r="H24" i="5" s="1"/>
  <c r="I24" i="5" s="1"/>
  <c r="F65" i="4"/>
  <c r="F30" i="4"/>
  <c r="H29" i="5" s="1"/>
  <c r="I29" i="5" s="1"/>
  <c r="F20" i="4"/>
  <c r="H19" i="5" s="1"/>
  <c r="I19" i="5" s="1"/>
  <c r="F53" i="4"/>
  <c r="H52" i="5" s="1"/>
  <c r="I52" i="5" s="1"/>
  <c r="F44" i="4"/>
  <c r="F70" i="4"/>
  <c r="Q19" i="5" s="1"/>
  <c r="R19" i="5" s="1"/>
  <c r="F69" i="4"/>
  <c r="G69" i="4" s="1"/>
  <c r="F52" i="4"/>
  <c r="H51" i="5" s="1"/>
  <c r="I51" i="5" s="1"/>
  <c r="F45" i="4"/>
  <c r="H44" i="5" s="1"/>
  <c r="I44" i="5" s="1"/>
  <c r="F55" i="4"/>
  <c r="H54" i="5" s="1"/>
  <c r="I54" i="5" s="1"/>
  <c r="F15" i="4"/>
  <c r="H14" i="5" s="1"/>
  <c r="I14" i="5" s="1"/>
  <c r="F19" i="4"/>
  <c r="H18" i="5" s="1"/>
  <c r="I18" i="5" s="1"/>
  <c r="F16" i="4"/>
  <c r="G16" i="4" s="1"/>
  <c r="F63" i="4"/>
  <c r="H62" i="5" s="1"/>
  <c r="I62" i="5" s="1"/>
  <c r="F47" i="4"/>
  <c r="H46" i="5" s="1"/>
  <c r="I46" i="5" s="1"/>
  <c r="F59" i="4"/>
  <c r="H58" i="5" s="1"/>
  <c r="I58" i="5" s="1"/>
  <c r="F73" i="4"/>
  <c r="Q22" i="5" s="1"/>
  <c r="R22" i="5" s="1"/>
  <c r="F49" i="4"/>
  <c r="H48" i="5" s="1"/>
  <c r="I48" i="5" s="1"/>
  <c r="F28" i="4"/>
  <c r="H27" i="5" s="1"/>
  <c r="I27" i="5" s="1"/>
  <c r="F34" i="4"/>
  <c r="H33" i="5" s="1"/>
  <c r="I33" i="5" s="1"/>
  <c r="F37" i="4"/>
  <c r="H36" i="5" s="1"/>
  <c r="I36" i="5" s="1"/>
  <c r="F87" i="4"/>
  <c r="G87" i="4" s="1"/>
  <c r="K85" i="4"/>
  <c r="L85" i="4" s="1"/>
  <c r="F85" i="4"/>
  <c r="K79" i="4"/>
  <c r="L79" i="4" s="1"/>
  <c r="F79" i="4"/>
  <c r="Q28" i="5" s="1"/>
  <c r="R28" i="5" s="1"/>
  <c r="K89" i="4"/>
  <c r="L89" i="4" s="1"/>
  <c r="F89" i="4"/>
  <c r="K86" i="4"/>
  <c r="L86" i="4" s="1"/>
  <c r="F86" i="4"/>
  <c r="G86" i="4" s="1"/>
  <c r="K80" i="4"/>
  <c r="L80" i="4" s="1"/>
  <c r="F80" i="4"/>
  <c r="Q29" i="5" s="1"/>
  <c r="R29" i="5" s="1"/>
  <c r="H21" i="5"/>
  <c r="I21" i="5" s="1"/>
  <c r="K82" i="4"/>
  <c r="L82" i="4" s="1"/>
  <c r="F82" i="4"/>
  <c r="Q31" i="5" s="1"/>
  <c r="R31" i="5" s="1"/>
  <c r="K78" i="4"/>
  <c r="L78" i="4" s="1"/>
  <c r="F78" i="4"/>
  <c r="H43" i="5"/>
  <c r="I43" i="5" s="1"/>
  <c r="K81" i="4"/>
  <c r="L81" i="4" s="1"/>
  <c r="F81" i="4"/>
  <c r="Q30" i="5" s="1"/>
  <c r="R30" i="5" s="1"/>
  <c r="K77" i="4"/>
  <c r="F77" i="4"/>
  <c r="H35" i="5"/>
  <c r="I35" i="5" s="1"/>
  <c r="K74" i="4"/>
  <c r="L74" i="4" s="1"/>
  <c r="F74" i="4"/>
  <c r="K75" i="4"/>
  <c r="L75" i="4" s="1"/>
  <c r="F75" i="4"/>
  <c r="Q24" i="5" s="1"/>
  <c r="R24" i="5" s="1"/>
  <c r="K83" i="4"/>
  <c r="L83" i="4" s="1"/>
  <c r="F83" i="4"/>
  <c r="Q32" i="5" s="1"/>
  <c r="R32" i="5" s="1"/>
  <c r="K88" i="4"/>
  <c r="L88" i="4" s="1"/>
  <c r="F88" i="4"/>
  <c r="K76" i="4"/>
  <c r="L76" i="4" s="1"/>
  <c r="F76" i="4"/>
  <c r="Q25" i="5" s="1"/>
  <c r="R25" i="5" s="1"/>
  <c r="Q14" i="5"/>
  <c r="R14" i="5" s="1"/>
  <c r="H42" i="5"/>
  <c r="I42" i="5" s="1"/>
  <c r="K84" i="4"/>
  <c r="L84" i="4" s="1"/>
  <c r="F84" i="4"/>
  <c r="F14" i="4"/>
  <c r="K14" i="4"/>
  <c r="L14" i="4" s="1"/>
  <c r="K44" i="4"/>
  <c r="L44" i="4" s="1"/>
  <c r="K22" i="4"/>
  <c r="L22" i="4" s="1"/>
  <c r="K45" i="4"/>
  <c r="L45" i="4" s="1"/>
  <c r="K20" i="4"/>
  <c r="L20" i="4" s="1"/>
  <c r="K16" i="4"/>
  <c r="L16" i="4" s="1"/>
  <c r="K34" i="4"/>
  <c r="L34" i="4" s="1"/>
  <c r="K15" i="4"/>
  <c r="L15" i="4" s="1"/>
  <c r="K70" i="4"/>
  <c r="L70" i="4" s="1"/>
  <c r="K49" i="4"/>
  <c r="L49" i="4" s="1"/>
  <c r="K43" i="4"/>
  <c r="L43" i="4" s="1"/>
  <c r="K73" i="4"/>
  <c r="L73" i="4" s="1"/>
  <c r="K52" i="4"/>
  <c r="L52" i="4" s="1"/>
  <c r="K59" i="4"/>
  <c r="L59" i="4" s="1"/>
  <c r="K19" i="4"/>
  <c r="L19" i="4" s="1"/>
  <c r="K63" i="4"/>
  <c r="L63" i="4" s="1"/>
  <c r="K37" i="4"/>
  <c r="L37" i="4" s="1"/>
  <c r="K53" i="4"/>
  <c r="L53" i="4" s="1"/>
  <c r="K36" i="4"/>
  <c r="L36" i="4" s="1"/>
  <c r="K47" i="4"/>
  <c r="L47" i="4" s="1"/>
  <c r="K28" i="4"/>
  <c r="L28" i="4" s="1"/>
  <c r="K69" i="4"/>
  <c r="L69" i="4" s="1"/>
  <c r="K25" i="4"/>
  <c r="L25" i="4" s="1"/>
  <c r="K30" i="4"/>
  <c r="L30" i="4" s="1"/>
  <c r="K48" i="4"/>
  <c r="L48" i="4" s="1"/>
  <c r="F48" i="4"/>
  <c r="K62" i="4"/>
  <c r="L62" i="4" s="1"/>
  <c r="F62" i="4"/>
  <c r="K60" i="4"/>
  <c r="L60" i="4" s="1"/>
  <c r="F60" i="4"/>
  <c r="F40" i="4"/>
  <c r="K26" i="4"/>
  <c r="L26" i="4" s="1"/>
  <c r="F26" i="4"/>
  <c r="K55" i="4"/>
  <c r="L55" i="4" s="1"/>
  <c r="F61" i="4"/>
  <c r="F42" i="4"/>
  <c r="F29" i="4"/>
  <c r="K67" i="4"/>
  <c r="L67" i="4" s="1"/>
  <c r="F67" i="4"/>
  <c r="K23" i="4"/>
  <c r="L23" i="4" s="1"/>
  <c r="F23" i="4"/>
  <c r="K72" i="4"/>
  <c r="L72" i="4" s="1"/>
  <c r="F72" i="4"/>
  <c r="K38" i="4"/>
  <c r="L38" i="4" s="1"/>
  <c r="F38" i="4"/>
  <c r="K17" i="4"/>
  <c r="L17" i="4" s="1"/>
  <c r="F17" i="4"/>
  <c r="K54" i="4"/>
  <c r="L54" i="4" s="1"/>
  <c r="F54" i="4"/>
  <c r="F41" i="4"/>
  <c r="K32" i="4"/>
  <c r="L32" i="4" s="1"/>
  <c r="F32" i="4"/>
  <c r="K66" i="4"/>
  <c r="L66" i="4" s="1"/>
  <c r="F66" i="4"/>
  <c r="K21" i="4"/>
  <c r="L21" i="4" s="1"/>
  <c r="F21" i="4"/>
  <c r="K58" i="4"/>
  <c r="L58" i="4" s="1"/>
  <c r="F58" i="4"/>
  <c r="K71" i="4"/>
  <c r="L71" i="4" s="1"/>
  <c r="F71" i="4"/>
  <c r="K65" i="4"/>
  <c r="L65" i="4" s="1"/>
  <c r="K64" i="4"/>
  <c r="L64" i="4" s="1"/>
  <c r="F64" i="4"/>
  <c r="K46" i="4"/>
  <c r="L46" i="4" s="1"/>
  <c r="F46" i="4"/>
  <c r="F39" i="4"/>
  <c r="F57" i="4"/>
  <c r="K56" i="4"/>
  <c r="L56" i="4" s="1"/>
  <c r="F56" i="4"/>
  <c r="K50" i="4"/>
  <c r="L50" i="4" s="1"/>
  <c r="F50" i="4"/>
  <c r="K68" i="4"/>
  <c r="L68" i="4" s="1"/>
  <c r="F68" i="4"/>
  <c r="K33" i="4"/>
  <c r="L33" i="4" s="1"/>
  <c r="F33" i="4"/>
  <c r="K27" i="4"/>
  <c r="L27" i="4" s="1"/>
  <c r="F27" i="4"/>
  <c r="K35" i="4"/>
  <c r="L35" i="4" s="1"/>
  <c r="F35" i="4"/>
  <c r="K31" i="4"/>
  <c r="L31" i="4" s="1"/>
  <c r="F31" i="4"/>
  <c r="K51" i="4"/>
  <c r="L51" i="4" s="1"/>
  <c r="F51" i="4"/>
  <c r="K24" i="4"/>
  <c r="L24" i="4" s="1"/>
  <c r="F24" i="4"/>
  <c r="K18" i="4"/>
  <c r="L18" i="4" s="1"/>
  <c r="F18" i="4"/>
  <c r="L42" i="4"/>
  <c r="K41" i="4"/>
  <c r="K29" i="4"/>
  <c r="K39" i="4"/>
  <c r="K40" i="4"/>
  <c r="K57" i="4"/>
  <c r="K61" i="4"/>
  <c r="G73" i="4"/>
  <c r="Q18" i="5" l="1"/>
  <c r="R18" i="5" s="1"/>
  <c r="G70" i="4"/>
  <c r="P70" i="4" s="1"/>
  <c r="Q70" i="4" s="1"/>
  <c r="H15" i="5"/>
  <c r="I15" i="5" s="1"/>
  <c r="G77" i="4"/>
  <c r="Q26" i="5"/>
  <c r="R26" i="5" s="1"/>
  <c r="G74" i="4"/>
  <c r="P74" i="4" s="1"/>
  <c r="Q74" i="4" s="1"/>
  <c r="Q23" i="5"/>
  <c r="R23" i="5" s="1"/>
  <c r="G78" i="4"/>
  <c r="P78" i="4" s="1"/>
  <c r="Q78" i="4" s="1"/>
  <c r="Q27" i="5"/>
  <c r="R27" i="5" s="1"/>
  <c r="G15" i="4"/>
  <c r="P15" i="4" s="1"/>
  <c r="Q15" i="4" s="1"/>
  <c r="P87" i="4"/>
  <c r="Q87" i="4" s="1"/>
  <c r="G14" i="4"/>
  <c r="P14" i="4" s="1"/>
  <c r="Q14" i="4" s="1"/>
  <c r="S14" i="4" s="1"/>
  <c r="H16" i="5"/>
  <c r="I16" i="5" s="1"/>
  <c r="H26" i="5"/>
  <c r="I26" i="5" s="1"/>
  <c r="H41" i="5"/>
  <c r="I41" i="5" s="1"/>
  <c r="G82" i="4"/>
  <c r="P82" i="4" s="1"/>
  <c r="Q82" i="4" s="1"/>
  <c r="G89" i="4"/>
  <c r="P89" i="4" s="1"/>
  <c r="Q89" i="4" s="1"/>
  <c r="H57" i="5"/>
  <c r="I57" i="5" s="1"/>
  <c r="G75" i="4"/>
  <c r="P75" i="4" s="1"/>
  <c r="Q75" i="4" s="1"/>
  <c r="P73" i="4"/>
  <c r="Q73" i="4" s="1"/>
  <c r="G79" i="4"/>
  <c r="P79" i="4" s="1"/>
  <c r="Q79" i="4" s="1"/>
  <c r="H55" i="5"/>
  <c r="I55" i="5" s="1"/>
  <c r="H49" i="5"/>
  <c r="I49" i="5" s="1"/>
  <c r="H30" i="5"/>
  <c r="I30" i="5" s="1"/>
  <c r="H37" i="5"/>
  <c r="I37" i="5" s="1"/>
  <c r="H25" i="5"/>
  <c r="I25" i="5" s="1"/>
  <c r="H20" i="5"/>
  <c r="I20" i="5" s="1"/>
  <c r="G84" i="4"/>
  <c r="P84" i="4" s="1"/>
  <c r="Q84" i="4" s="1"/>
  <c r="G81" i="4"/>
  <c r="P81" i="4" s="1"/>
  <c r="Q81" i="4" s="1"/>
  <c r="G85" i="4"/>
  <c r="P85" i="4" s="1"/>
  <c r="Q85" i="4" s="1"/>
  <c r="H34" i="5"/>
  <c r="I34" i="5" s="1"/>
  <c r="H56" i="5"/>
  <c r="I56" i="5" s="1"/>
  <c r="H39" i="5"/>
  <c r="I39" i="5" s="1"/>
  <c r="H38" i="5"/>
  <c r="I38" i="5" s="1"/>
  <c r="Q15" i="5"/>
  <c r="R15" i="5" s="1"/>
  <c r="H59" i="5"/>
  <c r="I59" i="5" s="1"/>
  <c r="G76" i="4"/>
  <c r="P76" i="4" s="1"/>
  <c r="Q76" i="4" s="1"/>
  <c r="P16" i="4"/>
  <c r="Q16" i="4" s="1"/>
  <c r="H31" i="5"/>
  <c r="I31" i="5" s="1"/>
  <c r="H61" i="5"/>
  <c r="I61" i="5" s="1"/>
  <c r="G88" i="4"/>
  <c r="P88" i="4" s="1"/>
  <c r="Q88" i="4" s="1"/>
  <c r="G80" i="4"/>
  <c r="P80" i="4" s="1"/>
  <c r="Q80" i="4" s="1"/>
  <c r="H50" i="5"/>
  <c r="I50" i="5" s="1"/>
  <c r="H60" i="5"/>
  <c r="I60" i="5" s="1"/>
  <c r="H32" i="5"/>
  <c r="I32" i="5" s="1"/>
  <c r="Q13" i="5"/>
  <c r="R13" i="5" s="1"/>
  <c r="H17" i="5"/>
  <c r="I17" i="5" s="1"/>
  <c r="H40" i="5"/>
  <c r="I40" i="5" s="1"/>
  <c r="H47" i="5"/>
  <c r="I47" i="5" s="1"/>
  <c r="G83" i="4"/>
  <c r="P83" i="4" s="1"/>
  <c r="Q83" i="4" s="1"/>
  <c r="P86" i="4"/>
  <c r="Q86" i="4" s="1"/>
  <c r="P69" i="4"/>
  <c r="Q69" i="4" s="1"/>
  <c r="H45" i="5"/>
  <c r="I45" i="5" s="1"/>
  <c r="H22" i="5"/>
  <c r="I22" i="5" s="1"/>
  <c r="H23" i="5"/>
  <c r="I23" i="5" s="1"/>
  <c r="H53" i="5"/>
  <c r="I53" i="5" s="1"/>
  <c r="H28" i="5"/>
  <c r="I28" i="5" s="1"/>
  <c r="L77" i="4"/>
  <c r="H13" i="5"/>
  <c r="I13" i="5" s="1"/>
  <c r="G71" i="4"/>
  <c r="P71" i="4" s="1"/>
  <c r="Q71" i="4" s="1"/>
  <c r="Q20" i="5"/>
  <c r="R20" i="5" s="1"/>
  <c r="G68" i="4"/>
  <c r="P68" i="4" s="1"/>
  <c r="Q68" i="4" s="1"/>
  <c r="Q17" i="5"/>
  <c r="R17" i="5" s="1"/>
  <c r="G72" i="4"/>
  <c r="P72" i="4" s="1"/>
  <c r="Q72" i="4" s="1"/>
  <c r="Q21" i="5"/>
  <c r="R21" i="5" s="1"/>
  <c r="G67" i="4"/>
  <c r="P67" i="4" s="1"/>
  <c r="Q67" i="4" s="1"/>
  <c r="Q16" i="5"/>
  <c r="R16" i="5" s="1"/>
  <c r="L39" i="4"/>
  <c r="L29" i="4"/>
  <c r="L61" i="4"/>
  <c r="L57" i="4"/>
  <c r="L40" i="4"/>
  <c r="L41" i="4"/>
  <c r="G29" i="4"/>
  <c r="G25" i="4"/>
  <c r="P25" i="4" s="1"/>
  <c r="Q25" i="4" s="1"/>
  <c r="G53" i="4"/>
  <c r="P53" i="4" s="1"/>
  <c r="Q53" i="4" s="1"/>
  <c r="G18" i="4"/>
  <c r="P18" i="4" s="1"/>
  <c r="Q18" i="4" s="1"/>
  <c r="G49" i="4"/>
  <c r="P49" i="4" s="1"/>
  <c r="Q49" i="4" s="1"/>
  <c r="G38" i="4"/>
  <c r="P38" i="4" s="1"/>
  <c r="Q38" i="4" s="1"/>
  <c r="G48" i="4"/>
  <c r="P48" i="4" s="1"/>
  <c r="Q48" i="4" s="1"/>
  <c r="G20" i="4"/>
  <c r="P20" i="4" s="1"/>
  <c r="Q20" i="4" s="1"/>
  <c r="G17" i="4"/>
  <c r="P17" i="4" s="1"/>
  <c r="Q17" i="4" s="1"/>
  <c r="G21" i="4"/>
  <c r="P21" i="4" s="1"/>
  <c r="Q21" i="4" s="1"/>
  <c r="G27" i="4"/>
  <c r="P27" i="4" s="1"/>
  <c r="Q27" i="4" s="1"/>
  <c r="G39" i="4"/>
  <c r="G26" i="4"/>
  <c r="P26" i="4" s="1"/>
  <c r="Q26" i="4" s="1"/>
  <c r="G43" i="4"/>
  <c r="P43" i="4" s="1"/>
  <c r="Q43" i="4" s="1"/>
  <c r="G50" i="4"/>
  <c r="P50" i="4" s="1"/>
  <c r="Q50" i="4" s="1"/>
  <c r="G57" i="4"/>
  <c r="G24" i="4"/>
  <c r="P24" i="4" s="1"/>
  <c r="Q24" i="4" s="1"/>
  <c r="G23" i="4"/>
  <c r="P23" i="4" s="1"/>
  <c r="Q23" i="4" s="1"/>
  <c r="G42" i="4"/>
  <c r="P42" i="4" s="1"/>
  <c r="Q42" i="4" s="1"/>
  <c r="G46" i="4"/>
  <c r="P46" i="4" s="1"/>
  <c r="Q46" i="4" s="1"/>
  <c r="G36" i="4"/>
  <c r="P36" i="4" s="1"/>
  <c r="Q36" i="4" s="1"/>
  <c r="G62" i="4"/>
  <c r="P62" i="4" s="1"/>
  <c r="Q62" i="4" s="1"/>
  <c r="G33" i="4"/>
  <c r="P33" i="4" s="1"/>
  <c r="Q33" i="4" s="1"/>
  <c r="G30" i="4"/>
  <c r="P30" i="4" s="1"/>
  <c r="Q30" i="4" s="1"/>
  <c r="G35" i="4"/>
  <c r="P35" i="4" s="1"/>
  <c r="Q35" i="4" s="1"/>
  <c r="G19" i="4"/>
  <c r="P19" i="4" s="1"/>
  <c r="Q19" i="4" s="1"/>
  <c r="G47" i="4"/>
  <c r="P47" i="4" s="1"/>
  <c r="Q47" i="4" s="1"/>
  <c r="G55" i="4"/>
  <c r="P55" i="4" s="1"/>
  <c r="Q55" i="4" s="1"/>
  <c r="G37" i="4"/>
  <c r="P37" i="4" s="1"/>
  <c r="Q37" i="4" s="1"/>
  <c r="G63" i="4"/>
  <c r="P63" i="4" s="1"/>
  <c r="Q63" i="4" s="1"/>
  <c r="G41" i="4"/>
  <c r="G44" i="4"/>
  <c r="P44" i="4" s="1"/>
  <c r="Q44" i="4" s="1"/>
  <c r="G61" i="4"/>
  <c r="G31" i="4"/>
  <c r="P31" i="4" s="1"/>
  <c r="Q31" i="4" s="1"/>
  <c r="G22" i="4"/>
  <c r="P22" i="4" s="1"/>
  <c r="Q22" i="4" s="1"/>
  <c r="G40" i="4"/>
  <c r="G54" i="4"/>
  <c r="P54" i="4" s="1"/>
  <c r="Q54" i="4" s="1"/>
  <c r="G45" i="4"/>
  <c r="P45" i="4" s="1"/>
  <c r="Q45" i="4" s="1"/>
  <c r="G52" i="4"/>
  <c r="P52" i="4" s="1"/>
  <c r="Q52" i="4" s="1"/>
  <c r="G64" i="4"/>
  <c r="P64" i="4" s="1"/>
  <c r="Q64" i="4" s="1"/>
  <c r="G66" i="4"/>
  <c r="P66" i="4" s="1"/>
  <c r="Q66" i="4" s="1"/>
  <c r="G51" i="4"/>
  <c r="P51" i="4" s="1"/>
  <c r="Q51" i="4" s="1"/>
  <c r="G56" i="4"/>
  <c r="P56" i="4" s="1"/>
  <c r="Q56" i="4" s="1"/>
  <c r="G58" i="4"/>
  <c r="P58" i="4" s="1"/>
  <c r="Q58" i="4" s="1"/>
  <c r="G34" i="4"/>
  <c r="P34" i="4" s="1"/>
  <c r="Q34" i="4" s="1"/>
  <c r="G32" i="4"/>
  <c r="P32" i="4" s="1"/>
  <c r="Q32" i="4" s="1"/>
  <c r="G59" i="4"/>
  <c r="P59" i="4" s="1"/>
  <c r="Q59" i="4" s="1"/>
  <c r="G60" i="4"/>
  <c r="P60" i="4" s="1"/>
  <c r="Q60" i="4" s="1"/>
  <c r="G65" i="4"/>
  <c r="P65" i="4" s="1"/>
  <c r="Q65" i="4" s="1"/>
  <c r="G28" i="4"/>
  <c r="P28" i="4" s="1"/>
  <c r="Q28" i="4" s="1"/>
  <c r="P77" i="4" l="1"/>
  <c r="Q77" i="4" s="1"/>
  <c r="S77" i="4" s="1"/>
  <c r="S78" i="4"/>
  <c r="S74" i="4"/>
  <c r="S87" i="4"/>
  <c r="P41" i="4"/>
  <c r="P29" i="4"/>
  <c r="P39" i="4"/>
  <c r="Q39" i="4" s="1"/>
  <c r="P40" i="4"/>
  <c r="Q40" i="4" s="1"/>
  <c r="P57" i="4"/>
  <c r="P61" i="4"/>
  <c r="Q61" i="4" s="1"/>
  <c r="S79" i="4"/>
  <c r="S83" i="4"/>
  <c r="S38" i="4"/>
  <c r="S85" i="4"/>
  <c r="S56" i="4"/>
  <c r="S81" i="4"/>
  <c r="S42" i="4"/>
  <c r="S67" i="4"/>
  <c r="S58" i="4"/>
  <c r="S23" i="4"/>
  <c r="S50" i="4"/>
  <c r="S53" i="4"/>
  <c r="S84" i="4"/>
  <c r="S52" i="4"/>
  <c r="S19" i="4"/>
  <c r="S44" i="4"/>
  <c r="S45" i="4"/>
  <c r="S26" i="4"/>
  <c r="S88" i="4"/>
  <c r="S65" i="4"/>
  <c r="S60" i="4"/>
  <c r="S20" i="4"/>
  <c r="S37" i="4"/>
  <c r="S28" i="4"/>
  <c r="S59" i="4"/>
  <c r="S22" i="4"/>
  <c r="S27" i="4"/>
  <c r="S32" i="4"/>
  <c r="S31" i="4"/>
  <c r="S21" i="4"/>
  <c r="S71" i="4"/>
  <c r="S64" i="4"/>
  <c r="S34" i="4"/>
  <c r="S36" i="4"/>
  <c r="S17" i="4"/>
  <c r="S82" i="4"/>
  <c r="S73" i="4"/>
  <c r="S80" i="4"/>
  <c r="S46" i="4"/>
  <c r="S69" i="4"/>
  <c r="S86" i="4"/>
  <c r="S75" i="4"/>
  <c r="S54" i="4"/>
  <c r="S15" i="4"/>
  <c r="S16" i="4"/>
  <c r="S25" i="4"/>
  <c r="S68" i="4"/>
  <c r="S76" i="4"/>
  <c r="S70" i="4"/>
  <c r="S89" i="4"/>
  <c r="D64" i="5"/>
  <c r="D65" i="5"/>
  <c r="D66" i="5"/>
  <c r="D67" i="5"/>
  <c r="S72" i="4"/>
  <c r="S51" i="4"/>
  <c r="S66" i="4"/>
  <c r="S24" i="4"/>
  <c r="S49" i="4"/>
  <c r="S55" i="4"/>
  <c r="S30" i="4"/>
  <c r="S47" i="4"/>
  <c r="Q57" i="4" l="1"/>
  <c r="S57" i="4" s="1"/>
  <c r="Q29" i="4"/>
  <c r="S29" i="4" s="1"/>
  <c r="Q41" i="4"/>
  <c r="S41" i="4" s="1"/>
  <c r="T25" i="4"/>
  <c r="T86" i="4"/>
  <c r="T54" i="4"/>
  <c r="T21" i="4"/>
  <c r="T76" i="4"/>
  <c r="T41" i="4"/>
  <c r="T60" i="4"/>
  <c r="T44" i="4"/>
  <c r="T73" i="4"/>
  <c r="T29" i="4"/>
  <c r="T35" i="4"/>
  <c r="T55" i="4"/>
  <c r="T61" i="4"/>
  <c r="T49" i="4"/>
  <c r="S40" i="4"/>
  <c r="T80" i="4"/>
  <c r="T57" i="4"/>
  <c r="T36" i="4"/>
  <c r="T20" i="4"/>
  <c r="T75" i="4"/>
  <c r="T34" i="4"/>
  <c r="T30" i="4"/>
  <c r="T27" i="4"/>
  <c r="T72" i="4"/>
  <c r="T68" i="4"/>
  <c r="T82" i="4"/>
  <c r="T62" i="4"/>
  <c r="T33" i="4"/>
  <c r="T26" i="4"/>
  <c r="T64" i="4"/>
  <c r="T31" i="4"/>
  <c r="T22" i="4"/>
  <c r="T43" i="4"/>
  <c r="T74" i="4"/>
  <c r="T48" i="4"/>
  <c r="T32" i="4"/>
  <c r="T59" i="4"/>
  <c r="T65" i="4"/>
  <c r="T45" i="4"/>
  <c r="T56" i="4"/>
  <c r="T78" i="4"/>
  <c r="T87" i="4"/>
  <c r="T71" i="4"/>
  <c r="T66" i="4"/>
  <c r="T28" i="4"/>
  <c r="T24" i="4"/>
  <c r="T47" i="4"/>
  <c r="T16" i="4"/>
  <c r="T89" i="4"/>
  <c r="T69" i="4"/>
  <c r="T14" i="4"/>
  <c r="T46" i="4"/>
  <c r="T84" i="4"/>
  <c r="T50" i="4"/>
  <c r="T70" i="4"/>
  <c r="T15" i="4"/>
  <c r="T17" i="4"/>
  <c r="T40" i="4"/>
  <c r="T37" i="4"/>
  <c r="T88" i="4"/>
  <c r="T53" i="4"/>
  <c r="T83" i="4"/>
  <c r="T79" i="4"/>
  <c r="T23" i="4"/>
  <c r="T81" i="4"/>
  <c r="T77" i="4"/>
  <c r="T19" i="4"/>
  <c r="T58" i="4"/>
  <c r="T52" i="4"/>
  <c r="T67" i="4"/>
  <c r="T63" i="4"/>
  <c r="T51" i="4"/>
  <c r="T18" i="4"/>
  <c r="T85" i="4"/>
  <c r="T38" i="4"/>
  <c r="T42" i="4"/>
  <c r="T39" i="4"/>
  <c r="D63" i="5"/>
  <c r="S48" i="4"/>
  <c r="S18" i="4"/>
  <c r="S35" i="4"/>
  <c r="S43" i="4"/>
  <c r="S39" i="4"/>
  <c r="S63" i="4"/>
  <c r="S61" i="4"/>
  <c r="S33" i="4"/>
  <c r="S62" i="4"/>
</calcChain>
</file>

<file path=xl/sharedStrings.xml><?xml version="1.0" encoding="utf-8"?>
<sst xmlns="http://schemas.openxmlformats.org/spreadsheetml/2006/main" count="264" uniqueCount="83">
  <si>
    <t>Student Number</t>
  </si>
  <si>
    <t>Student Name</t>
  </si>
  <si>
    <t>Quizzes</t>
  </si>
  <si>
    <t>Q1</t>
  </si>
  <si>
    <t>Q2</t>
  </si>
  <si>
    <t>Q3</t>
  </si>
  <si>
    <t>Raw Score</t>
  </si>
  <si>
    <t>Percentage</t>
  </si>
  <si>
    <t>Activity</t>
  </si>
  <si>
    <t>A1</t>
  </si>
  <si>
    <t>A2</t>
  </si>
  <si>
    <t>A3</t>
  </si>
  <si>
    <t>11-11</t>
  </si>
  <si>
    <t>Attendance</t>
  </si>
  <si>
    <t>Transmuted Grades</t>
  </si>
  <si>
    <t>No.</t>
  </si>
  <si>
    <t>MIDTERM GRADE</t>
  </si>
  <si>
    <t>FINALTERM GRADE</t>
  </si>
  <si>
    <t>Total Raw Score</t>
  </si>
  <si>
    <t>Equiv.</t>
  </si>
  <si>
    <t>Republic of the Philippines</t>
  </si>
  <si>
    <t>DON HONORIO VENTURA TECHNOLOGICAL STATE UNIVERSITY</t>
  </si>
  <si>
    <t>Moras dela Paz, Sto. Tomas, Pampanga</t>
  </si>
  <si>
    <t>Remarks</t>
  </si>
  <si>
    <t>Class Section:</t>
  </si>
  <si>
    <t>FINAL GRADE</t>
  </si>
  <si>
    <t>REMARKS</t>
  </si>
  <si>
    <t>MTG</t>
  </si>
  <si>
    <t>FTG</t>
  </si>
  <si>
    <t>TRANSMUTED</t>
  </si>
  <si>
    <t>RANKING</t>
  </si>
  <si>
    <t>GRADING SHEET SETTINGS</t>
  </si>
  <si>
    <t>Name</t>
  </si>
  <si>
    <t>Semster:</t>
  </si>
  <si>
    <t>Academic Year:</t>
  </si>
  <si>
    <t>Subject Description:</t>
  </si>
  <si>
    <t>Subject Code:</t>
  </si>
  <si>
    <t>Commision on Higher Education</t>
  </si>
  <si>
    <t>Sto. Tomas Campus</t>
  </si>
  <si>
    <t>SUMMARY OF GRADES (MIDTERM)</t>
  </si>
  <si>
    <t>Grade</t>
  </si>
  <si>
    <t>P</t>
  </si>
  <si>
    <t>A</t>
  </si>
  <si>
    <t>L</t>
  </si>
  <si>
    <t>Total</t>
  </si>
  <si>
    <t>Total no. of students:</t>
  </si>
  <si>
    <t>No. of PASSED students:</t>
  </si>
  <si>
    <t>No. of FAILED students:</t>
  </si>
  <si>
    <t>No. of INC students:</t>
  </si>
  <si>
    <t>No. of DROPPED students:</t>
  </si>
  <si>
    <t>Prepared by:</t>
  </si>
  <si>
    <t>John Daryl J. Soliman</t>
  </si>
  <si>
    <t>Instructor 1</t>
  </si>
  <si>
    <t xml:space="preserve"> </t>
  </si>
  <si>
    <t>Major Exam</t>
  </si>
  <si>
    <t>Q4</t>
  </si>
  <si>
    <t>Q5</t>
  </si>
  <si>
    <t>A4</t>
  </si>
  <si>
    <t>A5</t>
  </si>
  <si>
    <t>M   I   D   T  E  R  M ----- M   I   D   T  E  R  M ----- M   I   D   T  E  R  M ----- M   I   D   T  E  R  M -----M   I   D   T  E  R  M ----- M   I   D   T  E  R  M ----- M   I   D   T  E  R  M</t>
  </si>
  <si>
    <t xml:space="preserve">F  I  N  A  L   T  E  R  M ----- F  I  N  A  L   T  E  R  M  ----- F  I  N  A  L   T  E  R  M  ----- F  I  N  A  L   T  E  R  M  -----F  I  N  A  L   T  E  R  M  ----- F  I  N  A  L   T  E  R  M  ----- F  I  N  A  L   T  E  R  M </t>
  </si>
  <si>
    <t>GRADE EQUIVALENTS</t>
  </si>
  <si>
    <t>Recitation</t>
  </si>
  <si>
    <t>TOTAL</t>
  </si>
  <si>
    <t xml:space="preserve">MIDTERM - MIDTERM - MIDTERM - MIDTERM - MIDTERM - MIDTERM - MIDTERM - MIDTERM - MIDTERM - </t>
  </si>
  <si>
    <t>FINALTERM - FINALTERM - FINALTERM - FINALTERM - FINALTERM - FINALTERM - FINALTERM - FINALTERM</t>
  </si>
  <si>
    <t>FA</t>
  </si>
  <si>
    <t>DRP</t>
  </si>
  <si>
    <t>INCENTIVES</t>
  </si>
  <si>
    <t>POINTS Midterm</t>
  </si>
  <si>
    <t>POINTS Finals</t>
  </si>
  <si>
    <t>POINTS Final Grade</t>
  </si>
  <si>
    <t>Attendace</t>
  </si>
  <si>
    <t>Activities</t>
  </si>
  <si>
    <t>Laboratory</t>
  </si>
  <si>
    <t>PERCENTAGE</t>
  </si>
  <si>
    <t>Non-Laboratory</t>
  </si>
  <si>
    <t>Classification</t>
  </si>
  <si>
    <t>FINAL TERM GRADE</t>
  </si>
  <si>
    <t>STO. TOMAS CAMPUS</t>
  </si>
  <si>
    <t>Second Semester</t>
  </si>
  <si>
    <t>Non-Lab</t>
  </si>
  <si>
    <t>A.Y.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</si>
</sst>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;@"/>
    <numFmt numFmtId="165" formatCode="0.0"/>
    <numFmt numFmtId="166" formatCode="[$-409]d\-mmm;@"/>
  </numFmts>
  <fonts count="28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6"/>
      <color theme="1"/>
      <name val="Tahoma"/>
      <family val="2"/>
    </font>
    <font>
      <sz val="11"/>
      <color theme="1"/>
      <name val="Candara"/>
      <family val="2"/>
    </font>
    <font>
      <sz val="9"/>
      <color theme="1"/>
      <name val="Courier New"/>
      <family val="3"/>
    </font>
    <font>
      <sz val="9"/>
      <color theme="1"/>
      <name val="Candara"/>
      <family val="2"/>
    </font>
    <font>
      <i/>
      <sz val="9"/>
      <color theme="1"/>
      <name val="Candara"/>
      <family val="2"/>
    </font>
    <font>
      <b/>
      <sz val="9"/>
      <color theme="1"/>
      <name val="Candara"/>
      <family val="2"/>
    </font>
    <font>
      <b/>
      <sz val="11"/>
      <color theme="0"/>
      <name val="Candara"/>
      <family val="2"/>
    </font>
    <font>
      <b/>
      <sz val="9"/>
      <name val="Candara"/>
      <family val="2"/>
    </font>
    <font>
      <b/>
      <sz val="9"/>
      <color theme="0"/>
      <name val="Candara"/>
      <family val="2"/>
    </font>
    <font>
      <sz val="10"/>
      <color theme="1"/>
      <name val="Courier New"/>
      <family val="3"/>
    </font>
    <font>
      <sz val="10"/>
      <color theme="1"/>
      <name val="Candara"/>
      <family val="2"/>
    </font>
    <font>
      <i/>
      <sz val="10"/>
      <color theme="1"/>
      <name val="Candara"/>
      <family val="2"/>
    </font>
    <font>
      <b/>
      <sz val="10"/>
      <color theme="1"/>
      <name val="Candara"/>
      <family val="2"/>
    </font>
    <font>
      <b/>
      <sz val="11"/>
      <color theme="1"/>
      <name val="Candara"/>
      <family val="2"/>
    </font>
    <font>
      <sz val="5"/>
      <color theme="1"/>
      <name val="Candara"/>
      <family val="2"/>
    </font>
    <font>
      <sz val="9"/>
      <name val="Candara"/>
      <family val="2"/>
    </font>
    <font>
      <b/>
      <sz val="11"/>
      <color theme="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ndara"/>
      <family val="2"/>
    </font>
    <font>
      <sz val="9"/>
      <color theme="1"/>
      <name val="Tahoma"/>
      <family val="2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27" fillId="0" borderId="0"/>
  </cellStyleXfs>
  <cellXfs count="150">
    <xf numFmtId="0" fontId="0" fillId="0" borderId="0" xfId="0"/>
    <xf numFmtId="0" fontId="1" fillId="0" borderId="0" xfId="0" applyFont="1"/>
    <xf numFmtId="16" fontId="4" fillId="0" borderId="1" xfId="0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/>
    <xf numFmtId="0" fontId="4" fillId="3" borderId="3" xfId="0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7" fillId="5" borderId="0" xfId="0" applyFont="1" applyFill="1"/>
    <xf numFmtId="0" fontId="7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right"/>
    </xf>
    <xf numFmtId="0" fontId="10" fillId="5" borderId="0" xfId="0" applyFont="1" applyFill="1"/>
    <xf numFmtId="0" fontId="12" fillId="5" borderId="0" xfId="0" applyFont="1" applyFill="1"/>
    <xf numFmtId="0" fontId="14" fillId="6" borderId="6" xfId="0" applyFont="1" applyFill="1" applyBorder="1" applyAlignment="1">
      <alignment horizontal="center" vertical="center"/>
    </xf>
    <xf numFmtId="9" fontId="14" fillId="6" borderId="8" xfId="0" applyNumberFormat="1" applyFont="1" applyFill="1" applyBorder="1" applyAlignment="1">
      <alignment horizontal="center" vertical="center"/>
    </xf>
    <xf numFmtId="0" fontId="14" fillId="5" borderId="0" xfId="0" applyFont="1" applyFill="1"/>
    <xf numFmtId="0" fontId="14" fillId="6" borderId="6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/>
    <xf numFmtId="2" fontId="7" fillId="5" borderId="1" xfId="0" applyNumberFormat="1" applyFont="1" applyFill="1" applyBorder="1" applyAlignment="1">
      <alignment horizontal="center"/>
    </xf>
    <xf numFmtId="2" fontId="7" fillId="5" borderId="0" xfId="0" applyNumberFormat="1" applyFont="1" applyFill="1"/>
    <xf numFmtId="0" fontId="7" fillId="5" borderId="1" xfId="0" applyFont="1" applyFill="1" applyBorder="1" applyAlignment="1">
      <alignment horizontal="left"/>
    </xf>
    <xf numFmtId="0" fontId="17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19" fillId="5" borderId="1" xfId="0" applyFont="1" applyFill="1" applyBorder="1"/>
    <xf numFmtId="0" fontId="9" fillId="0" borderId="0" xfId="0" applyFont="1"/>
    <xf numFmtId="0" fontId="10" fillId="0" borderId="0" xfId="0" applyFont="1"/>
    <xf numFmtId="164" fontId="9" fillId="0" borderId="1" xfId="0" applyNumberFormat="1" applyFont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1" fillId="0" borderId="7" xfId="0" applyFont="1" applyBorder="1" applyAlignment="1">
      <alignment horizontal="right"/>
    </xf>
    <xf numFmtId="0" fontId="11" fillId="0" borderId="7" xfId="0" applyFont="1" applyBorder="1"/>
    <xf numFmtId="165" fontId="9" fillId="0" borderId="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1" fillId="0" borderId="0" xfId="0" applyFont="1"/>
    <xf numFmtId="16" fontId="4" fillId="0" borderId="2" xfId="0" quotePrefix="1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8" borderId="0" xfId="0" applyFont="1" applyFill="1"/>
    <xf numFmtId="165" fontId="21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5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1" fontId="4" fillId="5" borderId="3" xfId="0" applyNumberFormat="1" applyFont="1" applyFill="1" applyBorder="1" applyAlignment="1">
      <alignment horizontal="center" vertical="center"/>
    </xf>
    <xf numFmtId="0" fontId="24" fillId="0" borderId="0" xfId="0" applyFont="1"/>
    <xf numFmtId="2" fontId="24" fillId="0" borderId="1" xfId="0" applyNumberFormat="1" applyFont="1" applyBorder="1" applyAlignment="1">
      <alignment horizontal="center"/>
    </xf>
    <xf numFmtId="0" fontId="7" fillId="5" borderId="6" xfId="0" applyFont="1" applyFill="1" applyBorder="1" applyAlignment="1">
      <alignment horizontal="center" vertical="center"/>
    </xf>
    <xf numFmtId="0" fontId="0" fillId="0" borderId="1" xfId="0" applyBorder="1"/>
    <xf numFmtId="0" fontId="26" fillId="0" borderId="1" xfId="0" applyFont="1" applyBorder="1"/>
    <xf numFmtId="0" fontId="19" fillId="5" borderId="0" xfId="0" applyFont="1" applyFill="1"/>
    <xf numFmtId="0" fontId="7" fillId="5" borderId="0" xfId="0" applyFont="1" applyFill="1" applyAlignment="1">
      <alignment horizontal="left"/>
    </xf>
    <xf numFmtId="0" fontId="26" fillId="0" borderId="3" xfId="0" applyFont="1" applyBorder="1"/>
    <xf numFmtId="0" fontId="1" fillId="0" borderId="0" xfId="0" applyFont="1" applyAlignment="1">
      <alignment horizontal="center"/>
    </xf>
    <xf numFmtId="0" fontId="3" fillId="10" borderId="3" xfId="0" applyFont="1" applyFill="1" applyBorder="1" applyAlignment="1">
      <alignment horizontal="center"/>
    </xf>
    <xf numFmtId="2" fontId="5" fillId="5" borderId="3" xfId="0" applyNumberFormat="1" applyFont="1" applyFill="1" applyBorder="1" applyAlignment="1">
      <alignment horizontal="center" vertical="center"/>
    </xf>
    <xf numFmtId="2" fontId="5" fillId="3" borderId="3" xfId="0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19" fillId="5" borderId="6" xfId="0" applyFont="1" applyFill="1" applyBorder="1" applyAlignment="1">
      <alignment horizontal="center"/>
    </xf>
    <xf numFmtId="0" fontId="19" fillId="5" borderId="8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 textRotation="90" wrapText="1"/>
    </xf>
    <xf numFmtId="166" fontId="4" fillId="0" borderId="4" xfId="0" applyNumberFormat="1" applyFont="1" applyBorder="1" applyAlignment="1">
      <alignment horizontal="center" vertical="center" textRotation="90" wrapText="1"/>
    </xf>
    <xf numFmtId="166" fontId="4" fillId="0" borderId="11" xfId="0" applyNumberFormat="1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" fontId="4" fillId="0" borderId="2" xfId="0" applyNumberFormat="1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D3FCFE9C-8692-40C8-8A3F-036155B38113}"/>
  </cellStyles>
  <dxfs count="33">
    <dxf>
      <font>
        <color rgb="FFC00000"/>
      </font>
      <fill>
        <patternFill patternType="none">
          <bgColor auto="1"/>
        </patternFill>
      </fill>
    </dxf>
    <dxf>
      <font>
        <b val="0"/>
        <i val="0"/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b val="0"/>
        <i val="0"/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2"/>
      <tableStyleElement type="headerRow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723479</xdr:colOff>
      <xdr:row>1</xdr:row>
      <xdr:rowOff>47625</xdr:rowOff>
    </xdr:from>
    <xdr:to>
      <xdr:col>2</xdr:col>
      <xdr:colOff>1295820</xdr:colOff>
      <xdr:row>4</xdr:row>
      <xdr:rowOff>48466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2FB5-678D-4AC4-8F30-92FBBFBAF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71279" y="238125"/>
          <a:ext cx="572341" cy="572341"/>
        </a:xfrm>
        <a:prstGeom prst="rect">
          <a:avLst/>
        </a:prstGeom>
      </xdr:spPr>
    </xdr:pic>
    <xdr:clientData/>
  </xdr:twoCellAnchor>
  <xdr:twoCellAnchor editAs="oneCell">
    <xdr:from>
      <xdr:col>5</xdr:col>
      <xdr:colOff>885404</xdr:colOff>
      <xdr:row>1</xdr:row>
      <xdr:rowOff>47625</xdr:rowOff>
    </xdr:from>
    <xdr:to>
      <xdr:col>5</xdr:col>
      <xdr:colOff>1457745</xdr:colOff>
      <xdr:row>4</xdr:row>
      <xdr:rowOff>48466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971E7F-B542-4933-BA6C-2C12E548C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00479" y="238125"/>
          <a:ext cx="572341" cy="5723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1035327</xdr:colOff>
      <xdr:row>1</xdr:row>
      <xdr:rowOff>74544</xdr:rowOff>
    </xdr:from>
    <xdr:to>
      <xdr:col>3</xdr:col>
      <xdr:colOff>1607668</xdr:colOff>
      <xdr:row>4</xdr:row>
      <xdr:rowOff>75385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C81E9A-DFF5-40F8-95BC-5C7FBC634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38501" y="265044"/>
          <a:ext cx="572341" cy="572341"/>
        </a:xfrm>
        <a:prstGeom prst="rect">
          <a:avLst/>
        </a:prstGeom>
      </xdr:spPr>
    </xdr:pic>
    <xdr:clientData/>
  </xdr:twoCellAnchor>
  <xdr:twoCellAnchor editAs="oneCell">
    <xdr:from>
      <xdr:col>13</xdr:col>
      <xdr:colOff>67918</xdr:colOff>
      <xdr:row>1</xdr:row>
      <xdr:rowOff>74544</xdr:rowOff>
    </xdr:from>
    <xdr:to>
      <xdr:col>13</xdr:col>
      <xdr:colOff>640259</xdr:colOff>
      <xdr:row>4</xdr:row>
      <xdr:rowOff>75385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818ED5-92F6-4466-B1BA-8DCE85297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40368" y="265044"/>
          <a:ext cx="572341" cy="5723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993199</xdr:colOff>
      <xdr:row>70</xdr:row>
      <xdr:rowOff>114300</xdr:rowOff>
    </xdr:from>
    <xdr:to>
      <xdr:col>16</xdr:col>
      <xdr:colOff>34638</xdr:colOff>
      <xdr:row>73</xdr:row>
      <xdr:rowOff>123826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BB4943-7035-4200-A7DC-94C37614B2A4}"/>
            </a:ext>
          </a:extLst>
        </xdr:cNvPr>
        <xdr:cNvSpPr txBox="1"/>
      </xdr:nvSpPr>
      <xdr:spPr>
        <a:xfrm>
          <a:off x="5812849" y="11239500"/>
          <a:ext cx="2203739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latin typeface="Candara" panose="020E0502030303020204" pitchFamily="34" charset="0"/>
            </a:rPr>
            <a:t>Engr. Reden M. Hernandez</a:t>
          </a:r>
          <a:endParaRPr lang="en-US" sz="900" b="1" baseline="0">
            <a:latin typeface="Candara" panose="020E0502030303020204" pitchFamily="34" charset="0"/>
          </a:endParaRPr>
        </a:p>
        <a:p>
          <a:r>
            <a:rPr lang="en-US" sz="900" i="1" baseline="0">
              <a:latin typeface="Candara" panose="020E0502030303020204" pitchFamily="34" charset="0"/>
            </a:rPr>
            <a:t>Vice-President for Academic Affairs</a:t>
          </a:r>
          <a:endParaRPr lang="en-US" sz="900" i="1">
            <a:latin typeface="Candara" panose="020E0502030303020204" pitchFamily="34" charset="0"/>
          </a:endParaRPr>
        </a:p>
      </xdr:txBody>
    </xdr:sp>
    <xdr:clientData/>
  </xdr:twoCellAnchor>
  <xdr:twoCellAnchor>
    <xdr:from>
      <xdr:col>7</xdr:col>
      <xdr:colOff>288347</xdr:colOff>
      <xdr:row>70</xdr:row>
      <xdr:rowOff>95250</xdr:rowOff>
    </xdr:from>
    <xdr:to>
      <xdr:col>11</xdr:col>
      <xdr:colOff>200025</xdr:colOff>
      <xdr:row>73</xdr:row>
      <xdr:rowOff>104776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9D2CAE8-ED9F-4BD2-8A03-8E3082F85C40}"/>
            </a:ext>
          </a:extLst>
        </xdr:cNvPr>
        <xdr:cNvSpPr txBox="1"/>
      </xdr:nvSpPr>
      <xdr:spPr>
        <a:xfrm>
          <a:off x="3936422" y="11220450"/>
          <a:ext cx="1083253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latin typeface="Candara" panose="020E0502030303020204" pitchFamily="34" charset="0"/>
            </a:rPr>
            <a:t>Dolores</a:t>
          </a:r>
          <a:r>
            <a:rPr lang="en-US" sz="900" b="1" baseline="0">
              <a:latin typeface="Candara" panose="020E0502030303020204" pitchFamily="34" charset="0"/>
            </a:rPr>
            <a:t> Mallari</a:t>
          </a:r>
        </a:p>
        <a:p>
          <a:r>
            <a:rPr lang="en-US" sz="900" i="1" baseline="0">
              <a:latin typeface="Candara" panose="020E0502030303020204" pitchFamily="34" charset="0"/>
            </a:rPr>
            <a:t>Registrar</a:t>
          </a:r>
          <a:endParaRPr lang="en-US" sz="900" i="1">
            <a:latin typeface="Candara" panose="020E0502030303020204" pitchFamily="34" charset="0"/>
          </a:endParaRPr>
        </a:p>
      </xdr:txBody>
    </xdr:sp>
    <xdr:clientData/>
  </xdr:twoCellAnchor>
  <xdr:twoCellAnchor>
    <xdr:from>
      <xdr:col>2</xdr:col>
      <xdr:colOff>928257</xdr:colOff>
      <xdr:row>67</xdr:row>
      <xdr:rowOff>148070</xdr:rowOff>
    </xdr:from>
    <xdr:to>
      <xdr:col>5</xdr:col>
      <xdr:colOff>219075</xdr:colOff>
      <xdr:row>74</xdr:row>
      <xdr:rowOff>71871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577C94-E326-4AB0-AE52-C18B47B74EE7}"/>
            </a:ext>
          </a:extLst>
        </xdr:cNvPr>
        <xdr:cNvSpPr txBox="1"/>
      </xdr:nvSpPr>
      <xdr:spPr>
        <a:xfrm>
          <a:off x="1423557" y="10692245"/>
          <a:ext cx="1481568" cy="990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latin typeface="Candara" panose="020E0502030303020204" pitchFamily="34" charset="0"/>
            </a:rPr>
            <a:t>Noted by:</a:t>
          </a:r>
        </a:p>
        <a:p>
          <a:endParaRPr lang="en-US" sz="1000">
            <a:latin typeface="Candara" panose="020E0502030303020204" pitchFamily="34" charset="0"/>
          </a:endParaRPr>
        </a:p>
        <a:p>
          <a:endParaRPr lang="en-US" sz="900">
            <a:latin typeface="Candara" panose="020E0502030303020204" pitchFamily="34" charset="0"/>
          </a:endParaRPr>
        </a:p>
        <a:p>
          <a:r>
            <a:rPr lang="en-US" sz="900" b="1">
              <a:latin typeface="Candara" panose="020E0502030303020204" pitchFamily="34" charset="0"/>
            </a:rPr>
            <a:t>Jovita</a:t>
          </a:r>
          <a:r>
            <a:rPr lang="en-US" sz="900" b="1" baseline="0">
              <a:latin typeface="Candara" panose="020E0502030303020204" pitchFamily="34" charset="0"/>
            </a:rPr>
            <a:t> G. Rivera, Ph. D.</a:t>
          </a:r>
        </a:p>
        <a:p>
          <a:r>
            <a:rPr lang="en-US" sz="900" i="1" baseline="0">
              <a:latin typeface="Candara" panose="020E0502030303020204" pitchFamily="34" charset="0"/>
            </a:rPr>
            <a:t>Campus Director</a:t>
          </a:r>
          <a:endParaRPr lang="en-US" sz="900" i="1">
            <a:latin typeface="Candara" panose="020E0502030303020204" pitchFamily="34" charset="0"/>
          </a:endParaRPr>
        </a:p>
      </xdr:txBody>
    </xdr:sp>
    <xdr:clientData/>
  </xdr:twoCellAnchor>
  <xdr:twoCellAnchor editAs="oneCell">
    <xdr:from>
      <xdr:col>2</xdr:col>
      <xdr:colOff>857250</xdr:colOff>
      <xdr:row>1</xdr:row>
      <xdr:rowOff>0</xdr:rowOff>
    </xdr:from>
    <xdr:to>
      <xdr:col>2</xdr:col>
      <xdr:colOff>1429591</xdr:colOff>
      <xdr:row>4</xdr:row>
      <xdr:rowOff>841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7B40897-7DED-4A7B-AE5B-3932AB78C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2550" y="190500"/>
          <a:ext cx="572341" cy="572341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1</xdr:row>
      <xdr:rowOff>0</xdr:rowOff>
    </xdr:from>
    <xdr:to>
      <xdr:col>15</xdr:col>
      <xdr:colOff>48466</xdr:colOff>
      <xdr:row>4</xdr:row>
      <xdr:rowOff>841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23C4E34-2AB9-4491-A997-41C07AE83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81750" y="190500"/>
          <a:ext cx="572341" cy="572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85"/>
  <sheetViews>
    <sheetView tabSelected="1" topLeftCell="A4" workbookViewId="0">
      <selection activeCell="F28" sqref="F28"/>
    </sheetView>
  </sheetViews>
  <sheetFormatPr defaultColWidth="9.109375" defaultRowHeight="14.4" x14ac:dyDescent="0.3"/>
  <cols>
    <col min="1" max="1" width="4.109375" style="18" bestFit="1" customWidth="1"/>
    <col min="2" max="2" width="17.5546875" style="18" customWidth="1"/>
    <col min="3" max="3" width="42.109375" style="17" bestFit="1" customWidth="1"/>
    <col min="4" max="4" width="9.109375" style="17"/>
    <col min="5" max="5" width="21.77734375" style="17" bestFit="1" customWidth="1"/>
    <col min="6" max="6" width="54.77734375" style="17" customWidth="1"/>
    <col min="7" max="16384" width="9.109375" style="17"/>
  </cols>
  <sheetData>
    <row r="2" spans="1:12" x14ac:dyDescent="0.3">
      <c r="A2" s="84" t="s">
        <v>20</v>
      </c>
      <c r="B2" s="84"/>
      <c r="C2" s="84"/>
      <c r="D2" s="84"/>
      <c r="E2" s="84"/>
      <c r="F2" s="84"/>
    </row>
    <row r="3" spans="1:12" x14ac:dyDescent="0.3">
      <c r="A3" s="85" t="s">
        <v>21</v>
      </c>
      <c r="B3" s="85"/>
      <c r="C3" s="85"/>
      <c r="D3" s="85"/>
      <c r="E3" s="85"/>
      <c r="F3" s="85"/>
    </row>
    <row r="4" spans="1:12" x14ac:dyDescent="0.3">
      <c r="A4" s="86" t="s">
        <v>79</v>
      </c>
      <c r="B4" s="86"/>
      <c r="C4" s="86"/>
      <c r="D4" s="86"/>
      <c r="E4" s="86"/>
      <c r="F4" s="86"/>
    </row>
    <row r="5" spans="1:12" x14ac:dyDescent="0.3">
      <c r="A5" s="87" t="s">
        <v>22</v>
      </c>
      <c r="B5" s="87"/>
      <c r="C5" s="87"/>
      <c r="D5" s="87"/>
      <c r="E5" s="87"/>
      <c r="F5" s="87"/>
    </row>
    <row r="6" spans="1:12" x14ac:dyDescent="0.3">
      <c r="A6" s="34"/>
      <c r="B6" s="34"/>
      <c r="C6" s="35"/>
      <c r="D6" s="35"/>
      <c r="E6" s="35"/>
      <c r="F6" s="35"/>
    </row>
    <row r="7" spans="1:12" x14ac:dyDescent="0.3">
      <c r="A7" s="91" t="s">
        <v>31</v>
      </c>
      <c r="B7" s="91"/>
      <c r="C7" s="91"/>
      <c r="D7" s="91"/>
      <c r="E7" s="91"/>
      <c r="F7" s="91"/>
    </row>
    <row r="9" spans="1:12" s="18" customFormat="1" ht="37.5" customHeight="1" x14ac:dyDescent="0.3">
      <c r="A9" s="36" t="s">
        <v>15</v>
      </c>
      <c r="B9" s="36" t="s">
        <v>0</v>
      </c>
      <c r="C9" s="36" t="s">
        <v>32</v>
      </c>
      <c r="E9" s="92" t="s">
        <v>31</v>
      </c>
      <c r="F9" s="92"/>
      <c r="G9" s="37"/>
      <c r="H9" s="37"/>
      <c r="I9" s="37"/>
      <c r="J9" s="37"/>
      <c r="K9" s="37"/>
      <c r="L9" s="37"/>
    </row>
    <row r="10" spans="1:12" x14ac:dyDescent="0.3">
      <c r="A10" s="74">
        <v>1</v>
      </c>
      <c r="B10" s="64"/>
      <c r="C10" s="75"/>
      <c r="E10" s="38" t="s">
        <v>33</v>
      </c>
      <c r="F10" s="30" t="s">
        <v>80</v>
      </c>
    </row>
    <row r="11" spans="1:12" x14ac:dyDescent="0.3">
      <c r="A11" s="74">
        <v>2</v>
      </c>
      <c r="B11" s="64"/>
      <c r="C11" s="75"/>
      <c r="E11" s="38" t="s">
        <v>34</v>
      </c>
      <c r="F11" s="30" t="s">
        <v>82</v>
      </c>
    </row>
    <row r="12" spans="1:12" x14ac:dyDescent="0.3">
      <c r="A12" s="74">
        <v>3</v>
      </c>
      <c r="B12" s="64"/>
      <c r="C12" s="75"/>
      <c r="E12" s="38"/>
      <c r="F12" s="30"/>
    </row>
    <row r="13" spans="1:12" x14ac:dyDescent="0.3">
      <c r="A13" s="74">
        <v>4</v>
      </c>
      <c r="B13" s="64"/>
      <c r="C13" s="75"/>
      <c r="E13" s="38" t="s">
        <v>35</v>
      </c>
      <c r="F13" s="30"/>
    </row>
    <row r="14" spans="1:12" x14ac:dyDescent="0.3">
      <c r="A14" s="74">
        <v>5</v>
      </c>
      <c r="B14" s="64"/>
      <c r="C14" s="75"/>
      <c r="E14" s="38" t="s">
        <v>36</v>
      </c>
      <c r="F14" s="30"/>
    </row>
    <row r="15" spans="1:12" x14ac:dyDescent="0.3">
      <c r="A15" s="74">
        <v>6</v>
      </c>
      <c r="B15" s="64"/>
      <c r="C15" s="75"/>
      <c r="E15" s="38"/>
      <c r="F15" s="30"/>
    </row>
    <row r="16" spans="1:12" x14ac:dyDescent="0.3">
      <c r="A16" s="74">
        <v>7</v>
      </c>
      <c r="B16" s="64"/>
      <c r="C16" s="75"/>
      <c r="E16" s="38" t="s">
        <v>24</v>
      </c>
      <c r="F16" s="30"/>
    </row>
    <row r="17" spans="1:7" x14ac:dyDescent="0.3">
      <c r="A17" s="74">
        <v>8</v>
      </c>
      <c r="B17" s="64"/>
      <c r="C17" s="75"/>
      <c r="E17" s="30"/>
      <c r="F17" s="30"/>
    </row>
    <row r="18" spans="1:7" x14ac:dyDescent="0.3">
      <c r="A18" s="74">
        <v>9</v>
      </c>
      <c r="B18" s="64"/>
      <c r="C18" s="75"/>
      <c r="E18" s="92" t="s">
        <v>75</v>
      </c>
      <c r="F18" s="92"/>
    </row>
    <row r="19" spans="1:7" x14ac:dyDescent="0.3">
      <c r="A19" s="74">
        <v>10</v>
      </c>
      <c r="B19" s="64"/>
      <c r="C19" s="75"/>
      <c r="E19" s="92"/>
      <c r="F19" s="92"/>
    </row>
    <row r="20" spans="1:7" x14ac:dyDescent="0.3">
      <c r="A20" s="74">
        <v>11</v>
      </c>
      <c r="B20" s="64"/>
      <c r="C20" s="75"/>
      <c r="E20" s="88" t="s">
        <v>74</v>
      </c>
      <c r="F20" s="89"/>
    </row>
    <row r="21" spans="1:7" x14ac:dyDescent="0.3">
      <c r="A21" s="74">
        <v>12</v>
      </c>
      <c r="B21" s="64"/>
      <c r="C21" s="75"/>
      <c r="E21" s="38" t="s">
        <v>72</v>
      </c>
      <c r="F21" s="33">
        <v>0</v>
      </c>
    </row>
    <row r="22" spans="1:7" x14ac:dyDescent="0.3">
      <c r="A22" s="74">
        <v>13</v>
      </c>
      <c r="B22" s="64"/>
      <c r="C22" s="75"/>
      <c r="E22" s="38" t="s">
        <v>2</v>
      </c>
      <c r="F22" s="33">
        <v>0</v>
      </c>
    </row>
    <row r="23" spans="1:7" x14ac:dyDescent="0.3">
      <c r="A23" s="74">
        <v>14</v>
      </c>
      <c r="B23" s="64"/>
      <c r="C23" s="75"/>
      <c r="E23" s="38" t="s">
        <v>73</v>
      </c>
      <c r="F23" s="33">
        <v>0</v>
      </c>
    </row>
    <row r="24" spans="1:7" x14ac:dyDescent="0.3">
      <c r="A24" s="74">
        <v>15</v>
      </c>
      <c r="B24" s="64"/>
      <c r="C24" s="75"/>
      <c r="E24" s="38" t="s">
        <v>62</v>
      </c>
      <c r="F24" s="33">
        <v>0</v>
      </c>
    </row>
    <row r="25" spans="1:7" x14ac:dyDescent="0.3">
      <c r="A25" s="74">
        <v>16</v>
      </c>
      <c r="B25" s="64"/>
      <c r="C25" s="75"/>
      <c r="E25" s="38" t="s">
        <v>74</v>
      </c>
      <c r="F25" s="33">
        <v>0</v>
      </c>
    </row>
    <row r="26" spans="1:7" x14ac:dyDescent="0.3">
      <c r="A26" s="74">
        <v>17</v>
      </c>
      <c r="B26" s="64"/>
      <c r="C26" s="75"/>
      <c r="E26" s="38" t="s">
        <v>54</v>
      </c>
      <c r="F26" s="33">
        <v>0</v>
      </c>
      <c r="G26" s="17">
        <f>SUM(F21:F26)</f>
        <v>0</v>
      </c>
    </row>
    <row r="27" spans="1:7" x14ac:dyDescent="0.3">
      <c r="A27" s="74">
        <v>18</v>
      </c>
      <c r="B27" s="64"/>
      <c r="C27" s="75"/>
      <c r="E27" s="88" t="s">
        <v>76</v>
      </c>
      <c r="F27" s="89"/>
    </row>
    <row r="28" spans="1:7" x14ac:dyDescent="0.3">
      <c r="A28" s="74">
        <v>19</v>
      </c>
      <c r="B28" s="64"/>
      <c r="C28" s="75"/>
      <c r="E28" s="38" t="s">
        <v>72</v>
      </c>
      <c r="F28" s="33">
        <v>0</v>
      </c>
    </row>
    <row r="29" spans="1:7" x14ac:dyDescent="0.3">
      <c r="A29" s="74">
        <v>20</v>
      </c>
      <c r="B29" s="64"/>
      <c r="C29" s="75"/>
      <c r="E29" s="38" t="s">
        <v>2</v>
      </c>
      <c r="F29" s="33">
        <v>0</v>
      </c>
    </row>
    <row r="30" spans="1:7" x14ac:dyDescent="0.3">
      <c r="A30" s="74">
        <v>21</v>
      </c>
      <c r="B30" s="64"/>
      <c r="C30" s="75"/>
      <c r="E30" s="38" t="s">
        <v>73</v>
      </c>
      <c r="F30" s="33">
        <v>0</v>
      </c>
    </row>
    <row r="31" spans="1:7" x14ac:dyDescent="0.3">
      <c r="A31" s="74">
        <v>22</v>
      </c>
      <c r="B31" s="64"/>
      <c r="C31" s="75"/>
      <c r="E31" s="38" t="s">
        <v>62</v>
      </c>
      <c r="F31" s="33">
        <v>0</v>
      </c>
    </row>
    <row r="32" spans="1:7" x14ac:dyDescent="0.3">
      <c r="A32" s="74">
        <v>23</v>
      </c>
      <c r="B32" s="64"/>
      <c r="C32" s="75"/>
      <c r="E32" s="38" t="s">
        <v>54</v>
      </c>
      <c r="F32" s="33">
        <v>0</v>
      </c>
      <c r="G32" s="17">
        <f>SUM(F28:F32)</f>
        <v>0</v>
      </c>
    </row>
    <row r="33" spans="1:6" x14ac:dyDescent="0.3">
      <c r="A33" s="74">
        <v>24</v>
      </c>
      <c r="B33" s="64"/>
      <c r="C33" s="75"/>
      <c r="E33" s="77"/>
      <c r="F33" s="78"/>
    </row>
    <row r="34" spans="1:6" x14ac:dyDescent="0.3">
      <c r="A34" s="74">
        <v>25</v>
      </c>
      <c r="B34" s="64"/>
      <c r="C34" s="75"/>
      <c r="E34" s="77"/>
      <c r="F34" s="78"/>
    </row>
    <row r="35" spans="1:6" x14ac:dyDescent="0.3">
      <c r="A35" s="74">
        <v>26</v>
      </c>
      <c r="B35" s="64"/>
      <c r="C35" s="75"/>
      <c r="E35" s="77"/>
      <c r="F35" s="78"/>
    </row>
    <row r="36" spans="1:6" x14ac:dyDescent="0.3">
      <c r="A36" s="74">
        <v>27</v>
      </c>
      <c r="B36" s="64"/>
      <c r="C36" s="75"/>
      <c r="E36" s="90"/>
      <c r="F36" s="90"/>
    </row>
    <row r="37" spans="1:6" x14ac:dyDescent="0.3">
      <c r="A37" s="74">
        <v>28</v>
      </c>
      <c r="B37" s="64"/>
      <c r="C37" s="75"/>
      <c r="E37" s="77"/>
      <c r="F37" s="78"/>
    </row>
    <row r="38" spans="1:6" x14ac:dyDescent="0.3">
      <c r="A38" s="74">
        <v>29</v>
      </c>
      <c r="B38" s="64"/>
      <c r="C38" s="75"/>
      <c r="E38" s="77"/>
      <c r="F38" s="78"/>
    </row>
    <row r="39" spans="1:6" x14ac:dyDescent="0.3">
      <c r="A39" s="74">
        <v>30</v>
      </c>
      <c r="B39" s="64"/>
      <c r="C39" s="75"/>
      <c r="E39" s="77"/>
      <c r="F39" s="78"/>
    </row>
    <row r="40" spans="1:6" x14ac:dyDescent="0.3">
      <c r="A40" s="74">
        <v>31</v>
      </c>
      <c r="B40" s="64"/>
      <c r="C40" s="75"/>
      <c r="E40" s="77"/>
      <c r="F40" s="78"/>
    </row>
    <row r="41" spans="1:6" x14ac:dyDescent="0.3">
      <c r="A41" s="74">
        <v>32</v>
      </c>
      <c r="B41" s="64"/>
      <c r="C41" s="75"/>
      <c r="E41" s="77"/>
      <c r="F41" s="78"/>
    </row>
    <row r="42" spans="1:6" x14ac:dyDescent="0.3">
      <c r="A42" s="74">
        <v>33</v>
      </c>
      <c r="B42" s="64"/>
      <c r="C42" s="75"/>
      <c r="E42" s="77"/>
      <c r="F42" s="78"/>
    </row>
    <row r="43" spans="1:6" x14ac:dyDescent="0.3">
      <c r="A43" s="74">
        <v>34</v>
      </c>
      <c r="B43" s="64"/>
      <c r="C43" s="75"/>
      <c r="E43" s="77"/>
      <c r="F43" s="78"/>
    </row>
    <row r="44" spans="1:6" x14ac:dyDescent="0.3">
      <c r="A44" s="74">
        <v>35</v>
      </c>
      <c r="B44" s="64"/>
      <c r="C44" s="75"/>
    </row>
    <row r="45" spans="1:6" x14ac:dyDescent="0.3">
      <c r="A45" s="74">
        <v>36</v>
      </c>
      <c r="B45" s="64"/>
      <c r="C45" s="75"/>
    </row>
    <row r="46" spans="1:6" x14ac:dyDescent="0.3">
      <c r="A46" s="74">
        <v>37</v>
      </c>
      <c r="B46" s="64"/>
      <c r="C46" s="75"/>
    </row>
    <row r="47" spans="1:6" x14ac:dyDescent="0.3">
      <c r="A47" s="74">
        <v>38</v>
      </c>
      <c r="B47" s="64"/>
      <c r="C47" s="75"/>
    </row>
    <row r="48" spans="1:6" x14ac:dyDescent="0.3">
      <c r="A48" s="74">
        <v>39</v>
      </c>
      <c r="B48" s="64"/>
      <c r="C48" s="75"/>
    </row>
    <row r="49" spans="1:3" x14ac:dyDescent="0.3">
      <c r="A49" s="74">
        <v>40</v>
      </c>
      <c r="B49" s="64"/>
      <c r="C49" s="75"/>
    </row>
    <row r="50" spans="1:3" x14ac:dyDescent="0.3">
      <c r="A50" s="74">
        <v>41</v>
      </c>
      <c r="B50" s="64"/>
      <c r="C50" s="75"/>
    </row>
    <row r="51" spans="1:3" x14ac:dyDescent="0.3">
      <c r="A51" s="74">
        <v>42</v>
      </c>
      <c r="B51" s="64"/>
      <c r="C51" s="75"/>
    </row>
    <row r="52" spans="1:3" x14ac:dyDescent="0.3">
      <c r="A52" s="74">
        <v>43</v>
      </c>
      <c r="B52" s="64"/>
      <c r="C52" s="75"/>
    </row>
    <row r="53" spans="1:3" x14ac:dyDescent="0.3">
      <c r="A53" s="74">
        <v>44</v>
      </c>
      <c r="B53" s="64"/>
      <c r="C53" s="75"/>
    </row>
    <row r="54" spans="1:3" x14ac:dyDescent="0.3">
      <c r="A54" s="74">
        <v>45</v>
      </c>
      <c r="B54" s="64"/>
      <c r="C54" s="75"/>
    </row>
    <row r="55" spans="1:3" x14ac:dyDescent="0.3">
      <c r="A55" s="74">
        <v>46</v>
      </c>
      <c r="B55" s="64"/>
      <c r="C55" s="75"/>
    </row>
    <row r="56" spans="1:3" x14ac:dyDescent="0.3">
      <c r="A56" s="74">
        <v>47</v>
      </c>
      <c r="B56" s="64"/>
      <c r="C56" s="75"/>
    </row>
    <row r="57" spans="1:3" x14ac:dyDescent="0.3">
      <c r="A57" s="74">
        <v>48</v>
      </c>
      <c r="B57" s="64"/>
      <c r="C57" s="75"/>
    </row>
    <row r="58" spans="1:3" x14ac:dyDescent="0.3">
      <c r="A58" s="74">
        <v>49</v>
      </c>
      <c r="B58" s="64"/>
      <c r="C58" s="75"/>
    </row>
    <row r="59" spans="1:3" x14ac:dyDescent="0.3">
      <c r="A59" s="74">
        <v>50</v>
      </c>
      <c r="B59" s="64"/>
      <c r="C59" s="75"/>
    </row>
    <row r="60" spans="1:3" x14ac:dyDescent="0.3">
      <c r="A60" s="74">
        <v>51</v>
      </c>
      <c r="B60" s="64"/>
      <c r="C60" s="75"/>
    </row>
    <row r="61" spans="1:3" x14ac:dyDescent="0.3">
      <c r="A61" s="74">
        <v>52</v>
      </c>
      <c r="B61" s="64"/>
      <c r="C61" s="75"/>
    </row>
    <row r="62" spans="1:3" x14ac:dyDescent="0.3">
      <c r="A62" s="74">
        <v>53</v>
      </c>
      <c r="B62" s="64"/>
      <c r="C62" s="75"/>
    </row>
    <row r="63" spans="1:3" x14ac:dyDescent="0.3">
      <c r="A63" s="74">
        <v>54</v>
      </c>
      <c r="B63" s="64"/>
      <c r="C63" s="75"/>
    </row>
    <row r="64" spans="1:3" x14ac:dyDescent="0.3">
      <c r="A64" s="74">
        <v>55</v>
      </c>
      <c r="B64" s="64"/>
      <c r="C64" s="75"/>
    </row>
    <row r="65" spans="1:3" x14ac:dyDescent="0.3">
      <c r="A65" s="74">
        <v>56</v>
      </c>
      <c r="B65" s="64"/>
      <c r="C65" s="75"/>
    </row>
    <row r="66" spans="1:3" x14ac:dyDescent="0.3">
      <c r="A66" s="74">
        <v>57</v>
      </c>
      <c r="B66" s="64"/>
      <c r="C66" s="75"/>
    </row>
    <row r="67" spans="1:3" x14ac:dyDescent="0.3">
      <c r="A67" s="74">
        <v>58</v>
      </c>
      <c r="B67" s="64"/>
      <c r="C67" s="75"/>
    </row>
    <row r="68" spans="1:3" x14ac:dyDescent="0.3">
      <c r="A68" s="74">
        <v>59</v>
      </c>
      <c r="B68" s="64"/>
      <c r="C68" s="75"/>
    </row>
    <row r="69" spans="1:3" x14ac:dyDescent="0.3">
      <c r="A69" s="74">
        <v>60</v>
      </c>
      <c r="B69" s="64"/>
      <c r="C69" s="75"/>
    </row>
    <row r="70" spans="1:3" x14ac:dyDescent="0.3">
      <c r="A70" s="74">
        <v>61</v>
      </c>
      <c r="B70" s="64"/>
      <c r="C70" s="75"/>
    </row>
    <row r="71" spans="1:3" x14ac:dyDescent="0.3">
      <c r="A71" s="74">
        <v>62</v>
      </c>
      <c r="B71" s="64"/>
      <c r="C71" s="75"/>
    </row>
    <row r="72" spans="1:3" x14ac:dyDescent="0.3">
      <c r="A72" s="74">
        <v>63</v>
      </c>
      <c r="B72" s="64"/>
      <c r="C72" s="75"/>
    </row>
    <row r="73" spans="1:3" x14ac:dyDescent="0.3">
      <c r="A73" s="74">
        <v>64</v>
      </c>
      <c r="B73" s="64"/>
      <c r="C73" s="75"/>
    </row>
    <row r="74" spans="1:3" x14ac:dyDescent="0.3">
      <c r="A74" s="74">
        <v>65</v>
      </c>
      <c r="B74" s="64"/>
      <c r="C74" s="75"/>
    </row>
    <row r="75" spans="1:3" x14ac:dyDescent="0.3">
      <c r="A75" s="74">
        <v>66</v>
      </c>
      <c r="B75" s="64"/>
      <c r="C75" s="75"/>
    </row>
    <row r="76" spans="1:3" x14ac:dyDescent="0.3">
      <c r="A76" s="74">
        <v>67</v>
      </c>
      <c r="B76" s="28"/>
      <c r="C76" s="75"/>
    </row>
    <row r="77" spans="1:3" x14ac:dyDescent="0.3">
      <c r="A77" s="74">
        <v>68</v>
      </c>
      <c r="B77" s="28"/>
      <c r="C77" s="75"/>
    </row>
    <row r="78" spans="1:3" x14ac:dyDescent="0.3">
      <c r="A78" s="74">
        <v>69</v>
      </c>
      <c r="B78" s="28"/>
      <c r="C78" s="75"/>
    </row>
    <row r="79" spans="1:3" x14ac:dyDescent="0.3">
      <c r="A79" s="74">
        <v>70</v>
      </c>
      <c r="B79" s="28"/>
      <c r="C79" s="75"/>
    </row>
    <row r="80" spans="1:3" x14ac:dyDescent="0.3">
      <c r="A80" s="74">
        <v>71</v>
      </c>
      <c r="B80" s="28"/>
      <c r="C80" s="75"/>
    </row>
    <row r="81" spans="1:3" x14ac:dyDescent="0.3">
      <c r="A81" s="74">
        <v>72</v>
      </c>
      <c r="B81" s="28"/>
      <c r="C81" s="75"/>
    </row>
    <row r="82" spans="1:3" x14ac:dyDescent="0.3">
      <c r="A82" s="74">
        <v>73</v>
      </c>
      <c r="B82" s="28"/>
      <c r="C82" s="75"/>
    </row>
    <row r="83" spans="1:3" x14ac:dyDescent="0.3">
      <c r="A83" s="74">
        <v>74</v>
      </c>
      <c r="B83" s="28"/>
      <c r="C83" s="75"/>
    </row>
    <row r="84" spans="1:3" x14ac:dyDescent="0.3">
      <c r="A84" s="74">
        <v>75</v>
      </c>
      <c r="B84" s="28"/>
      <c r="C84" s="75"/>
    </row>
    <row r="85" spans="1:3" x14ac:dyDescent="0.3">
      <c r="A85" s="74">
        <v>76</v>
      </c>
      <c r="B85" s="28"/>
      <c r="C85" s="75"/>
    </row>
  </sheetData>
  <protectedRanges>
    <protectedRange password="CBE7" sqref="B56" name="pe32e399326058c9f21e4de9e806875c7"/>
    <protectedRange password="CBE7" sqref="B57" name="p771f163418fa7a67290b60722dcf40c5"/>
    <protectedRange password="CBE7" sqref="B58" name="pdd17b68f231f7769725a826cc25637fd"/>
    <protectedRange password="CBE7" sqref="B59" name="p7f9971f48dfb61208e0c93cc33786c3c"/>
    <protectedRange password="CBE7" sqref="B60" name="p996d6e52f667763cf8c0a461244ff798"/>
    <protectedRange password="CBE7" sqref="B61" name="p76a352dcac91fc8fd9aa926bdd287c30"/>
    <protectedRange password="CBE7" sqref="B62" name="p9a79966ee4a1c07d6044f01ed70fc5fb"/>
    <protectedRange password="CBE7" sqref="B63" name="pc9c60c2b18f53e7be547b7a59f84e153"/>
    <protectedRange password="CBE7" sqref="B64" name="p1e24ca419318c23c271486bb7632d4ac"/>
    <protectedRange password="CBE7" sqref="B65" name="pd5b36098ec1795f41db1bb6de80e04b6"/>
    <protectedRange password="CBE7" sqref="B66" name="pebeacff0ca70a91a95e1e3cc089fa01e"/>
    <protectedRange password="CBE7" sqref="B67" name="p063c9322071578f159912512a4ed3652"/>
    <protectedRange password="CBE7" sqref="B68" name="p1c5b5c33e1582e0925979a79fe371383"/>
    <protectedRange password="CBE7" sqref="B69" name="pc88b97c262ac966b624e66e6bd62608f"/>
    <protectedRange password="CBE7" sqref="B70" name="p4db8d51262fbc9f63b7a59b17934385e"/>
    <protectedRange password="CBE7" sqref="B71" name="p1abb9252d4a974d596deab6611835ef2"/>
    <protectedRange password="CBE7" sqref="B72" name="p1088a10d026eae0ac20f59f5249db2ea"/>
    <protectedRange password="CBE7" sqref="B73" name="p79131cd95f2a0e923308d351a07334de"/>
    <protectedRange password="CBE7" sqref="B74" name="pe871a8bb571a388844763095342e9fa4"/>
    <protectedRange password="CBE7" sqref="B75" name="pc4be9fbe04ee352db4d53bc670d4548d"/>
    <protectedRange password="CBE7" sqref="B10" name="p18fc90be5b8124af983421d29bfc4352"/>
    <protectedRange password="CBE7" sqref="B11" name="p5224d572f0d791f58c66e4dcd5e2c2d0"/>
    <protectedRange password="CBE7" sqref="B12" name="pc064aa5670a62419ecc714e0d05772e5"/>
    <protectedRange password="CBE7" sqref="B13" name="p8acfe827853aff5217d7ef210177df96"/>
    <protectedRange password="CBE7" sqref="B14" name="ped90f7f5841740336de541fe04853637"/>
    <protectedRange password="CBE7" sqref="B15" name="p530dfc676c50e010122f21449913816d"/>
    <protectedRange password="CBE7" sqref="B16" name="pb76c54330985f58b41b1a3eb3b414273"/>
    <protectedRange password="CBE7" sqref="B17" name="pf60787e36971310468a06b4b74ac2bdb"/>
    <protectedRange password="CBE7" sqref="B18" name="p6af505c837855eb725b78354d2835f4a"/>
    <protectedRange password="CBE7" sqref="B19" name="p779643149d8f9853026954c5ad006e72"/>
    <protectedRange password="CBE7" sqref="B20" name="p6cecdf4805e17bca88c3ed85dbe96849"/>
    <protectedRange password="CBE7" sqref="B21" name="pc643d6dc6234d3c124f6361fb63a6b8e"/>
    <protectedRange password="CBE7" sqref="B22" name="p68cfc2e79b960ea5a3863dd0cb4e5515"/>
    <protectedRange password="CBE7" sqref="B23" name="p5511176b4eeaaa6c2eaa9f4d1ef04fec"/>
    <protectedRange password="CBE7" sqref="B24" name="pb81dda53d8f16b0b861ff061b1408185"/>
    <protectedRange password="CBE7" sqref="B25" name="pbe75e0fdf21055cb16ee5dfaed9fc0ac"/>
    <protectedRange password="CBE7" sqref="B26" name="p6620096eed92d21062084b7f4131a65a"/>
    <protectedRange password="CBE7" sqref="B27" name="p82b2e129309f8833c550676a75e933fd"/>
    <protectedRange password="CBE7" sqref="B28" name="p81c0878ed0a8af00a7fe32e9550706df"/>
    <protectedRange password="CBE7" sqref="B29" name="pbd781b84ccc19a2758d6a9e0fd879232"/>
    <protectedRange password="CBE7" sqref="B30" name="p4d129b477357fa5671b117f3a170d735"/>
    <protectedRange password="CBE7" sqref="B31" name="pc5d93cf98d1edd518eb086ccb5ada8e4"/>
    <protectedRange password="CBE7" sqref="B32" name="p23f3076cd381fc90f837a137beddfb1b"/>
    <protectedRange password="CBE7" sqref="B33" name="p6d59be95a51571cddea77d453e1648d4"/>
    <protectedRange password="CBE7" sqref="B34" name="p315ebcaa8e6ceee0eefb68d254612d8b"/>
    <protectedRange password="CBE7" sqref="B35" name="p4157941471914173743eec5998e91cfa"/>
    <protectedRange password="CBE7" sqref="B36" name="pcde1ebd540e6e3b788a1c622b60ffa38"/>
    <protectedRange password="CBE7" sqref="B37" name="p18b983048c49d7cb46eacc796ef6afe8"/>
    <protectedRange password="CBE7" sqref="B38" name="p4e7260bfb2f3ac94dd26b448a9944701"/>
    <protectedRange password="CBE7" sqref="B39" name="p0041cbd02e6f309e149dbefaf12f2684"/>
    <protectedRange password="CBE7" sqref="B40" name="p8899d4cfb6fb384084861e69e107be7e"/>
    <protectedRange password="CBE7" sqref="B41" name="pd798b9747711bde4ace663c3224a2dda"/>
    <protectedRange password="CBE7" sqref="B42" name="p58c94c31f1392574575fbfcc8531ab2b"/>
    <protectedRange password="CBE7" sqref="B43" name="p23cdf50ee73fcba0d38beca2d8cc8c0e"/>
    <protectedRange password="CBE7" sqref="B44" name="p77be994132be0444fb94249f22be69f6"/>
    <protectedRange password="CBE7" sqref="B45" name="pa558b7189ef92fbc4b442ee843ad48f7"/>
    <protectedRange password="CBE7" sqref="B46" name="p1a6f8d02f149d6bfb0e18603272a479d"/>
    <protectedRange password="CBE7" sqref="B47" name="pf75ba0275265930b59ee7433a727f9f0_1"/>
    <protectedRange password="CBE7" sqref="B48" name="p3e3575e848c5c35d1b9443145f1f25b4_1"/>
    <protectedRange password="CBE7" sqref="B49" name="p1c4b0b91300199c3b96a0b65233ab3b4_1"/>
    <protectedRange password="CBE7" sqref="B50" name="pbb4048aa942f0878d45d4b0528fcfa9f_1"/>
    <protectedRange password="CBE7" sqref="B51" name="p09f87e0e63c7e6d8570f36e5343955bc_1"/>
    <protectedRange password="CBE7" sqref="B52" name="pc62dc7e16f0a6a4c713f500c35f7eeea_1"/>
    <protectedRange password="CBE7" sqref="B53" name="p88334148c413d22e14e2d8bcd87c39ff_1"/>
    <protectedRange password="CBE7" sqref="B54" name="pc3118a49381bec86dddc132d076a57b1_1"/>
    <protectedRange password="CBE7" sqref="B55" name="pb56aa26b410a0b47a76b02e40553f698_1"/>
  </protectedRanges>
  <sortState xmlns:xlrd2="http://schemas.microsoft.com/office/spreadsheetml/2017/richdata2" ref="C10:C69">
    <sortCondition ref="C10:C69"/>
  </sortState>
  <mergeCells count="10">
    <mergeCell ref="E36:F36"/>
    <mergeCell ref="A7:F7"/>
    <mergeCell ref="E9:F9"/>
    <mergeCell ref="E18:F19"/>
    <mergeCell ref="E27:F27"/>
    <mergeCell ref="A2:F2"/>
    <mergeCell ref="A3:F3"/>
    <mergeCell ref="A4:F4"/>
    <mergeCell ref="A5:F5"/>
    <mergeCell ref="E20:F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81"/>
  <sheetViews>
    <sheetView topLeftCell="B1" zoomScale="130" zoomScaleNormal="130" workbookViewId="0">
      <pane xSplit="2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D6" sqref="D6"/>
    </sheetView>
  </sheetViews>
  <sheetFormatPr defaultColWidth="9.109375" defaultRowHeight="10.199999999999999" x14ac:dyDescent="0.2"/>
  <cols>
    <col min="1" max="1" width="2.88671875" style="61" customWidth="1"/>
    <col min="2" max="2" width="4.21875" style="62" customWidth="1"/>
    <col min="3" max="3" width="32.109375" style="61" customWidth="1"/>
    <col min="4" max="18" width="4.77734375" style="61" customWidth="1"/>
    <col min="19" max="20" width="9.109375" style="61"/>
    <col min="21" max="35" width="4.77734375" style="61" customWidth="1"/>
    <col min="36" max="16384" width="9.109375" style="61"/>
  </cols>
  <sheetData>
    <row r="1" spans="2:36" x14ac:dyDescent="0.2">
      <c r="D1" s="104" t="s">
        <v>64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U1" s="104" t="s">
        <v>65</v>
      </c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</row>
    <row r="2" spans="2:36" ht="10.5" customHeight="1" x14ac:dyDescent="0.2">
      <c r="B2" s="96" t="s">
        <v>15</v>
      </c>
      <c r="C2" s="96" t="s">
        <v>1</v>
      </c>
      <c r="D2" s="93">
        <v>44230</v>
      </c>
      <c r="E2" s="93"/>
      <c r="F2" s="93"/>
      <c r="G2" s="93">
        <v>46065</v>
      </c>
      <c r="H2" s="93"/>
      <c r="I2" s="93">
        <v>46076</v>
      </c>
      <c r="J2" s="93"/>
      <c r="K2" s="93"/>
      <c r="L2" s="93"/>
      <c r="M2" s="93"/>
      <c r="N2" s="93"/>
      <c r="O2" s="93"/>
      <c r="P2" s="93"/>
      <c r="Q2" s="93"/>
      <c r="R2" s="93"/>
      <c r="S2" s="101" t="s">
        <v>63</v>
      </c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101" t="s">
        <v>63</v>
      </c>
    </row>
    <row r="3" spans="2:36" x14ac:dyDescent="0.2">
      <c r="B3" s="96"/>
      <c r="C3" s="96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102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102"/>
    </row>
    <row r="4" spans="2:36" x14ac:dyDescent="0.2">
      <c r="B4" s="96"/>
      <c r="C4" s="96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102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102"/>
    </row>
    <row r="5" spans="2:36" ht="10.8" thickBot="1" x14ac:dyDescent="0.25">
      <c r="B5" s="97"/>
      <c r="C5" s="97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103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3"/>
    </row>
    <row r="6" spans="2:36" ht="10.8" thickTop="1" x14ac:dyDescent="0.2">
      <c r="B6" s="9">
        <v>1</v>
      </c>
      <c r="C6" s="10">
        <f>SETTINGS!C10</f>
        <v>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52">
        <f>100-SUM(D6:R6)</f>
        <v>100</v>
      </c>
      <c r="U6" s="10">
        <v>10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52">
        <f>S6-SUM(U6:AI6)</f>
        <v>90</v>
      </c>
    </row>
    <row r="7" spans="2:36" x14ac:dyDescent="0.2">
      <c r="B7" s="9">
        <v>2</v>
      </c>
      <c r="C7" s="10">
        <f>SETTINGS!C11</f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2">
        <f t="shared" ref="S7:S65" si="0">100-SUM(D7:R7)</f>
        <v>100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52">
        <f t="shared" ref="AJ7:AJ65" si="1">S7-SUM(U7:AI7)</f>
        <v>100</v>
      </c>
    </row>
    <row r="8" spans="2:36" x14ac:dyDescent="0.2">
      <c r="B8" s="9">
        <v>3</v>
      </c>
      <c r="C8" s="10">
        <f>SETTINGS!C12</f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52">
        <f t="shared" si="0"/>
        <v>100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52">
        <f t="shared" si="1"/>
        <v>100</v>
      </c>
    </row>
    <row r="9" spans="2:36" x14ac:dyDescent="0.2">
      <c r="B9" s="9">
        <v>4</v>
      </c>
      <c r="C9" s="10">
        <f>SETTINGS!C13</f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2">
        <f t="shared" si="0"/>
        <v>100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52">
        <f t="shared" si="1"/>
        <v>100</v>
      </c>
    </row>
    <row r="10" spans="2:36" x14ac:dyDescent="0.2">
      <c r="B10" s="9">
        <v>5</v>
      </c>
      <c r="C10" s="10">
        <f>SETTINGS!C14</f>
        <v>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52">
        <f t="shared" si="0"/>
        <v>100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52">
        <f t="shared" si="1"/>
        <v>100</v>
      </c>
    </row>
    <row r="11" spans="2:36" x14ac:dyDescent="0.2">
      <c r="B11" s="9">
        <v>6</v>
      </c>
      <c r="C11" s="10">
        <f>SETTINGS!C15</f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52">
        <f t="shared" si="0"/>
        <v>100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52">
        <f t="shared" si="1"/>
        <v>100</v>
      </c>
    </row>
    <row r="12" spans="2:36" x14ac:dyDescent="0.2">
      <c r="B12" s="9">
        <v>7</v>
      </c>
      <c r="C12" s="10">
        <f>SETTINGS!C16</f>
        <v>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52">
        <f t="shared" si="0"/>
        <v>100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52">
        <f t="shared" si="1"/>
        <v>100</v>
      </c>
    </row>
    <row r="13" spans="2:36" x14ac:dyDescent="0.2">
      <c r="B13" s="9">
        <v>8</v>
      </c>
      <c r="C13" s="10">
        <f>SETTINGS!C17</f>
        <v>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52">
        <f t="shared" si="0"/>
        <v>100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52">
        <f t="shared" si="1"/>
        <v>100</v>
      </c>
    </row>
    <row r="14" spans="2:36" x14ac:dyDescent="0.2">
      <c r="B14" s="9">
        <v>9</v>
      </c>
      <c r="C14" s="10">
        <f>SETTINGS!C18</f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52">
        <f t="shared" si="0"/>
        <v>100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52">
        <f t="shared" si="1"/>
        <v>100</v>
      </c>
    </row>
    <row r="15" spans="2:36" x14ac:dyDescent="0.2">
      <c r="B15" s="9">
        <v>10</v>
      </c>
      <c r="C15" s="10">
        <f>SETTINGS!C19</f>
        <v>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52">
        <f t="shared" si="0"/>
        <v>100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52">
        <f t="shared" si="1"/>
        <v>100</v>
      </c>
    </row>
    <row r="16" spans="2:36" x14ac:dyDescent="0.2">
      <c r="B16" s="9">
        <v>11</v>
      </c>
      <c r="C16" s="10">
        <f>SETTINGS!C20</f>
        <v>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52">
        <f t="shared" si="0"/>
        <v>100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52">
        <f t="shared" si="1"/>
        <v>100</v>
      </c>
    </row>
    <row r="17" spans="2:36" x14ac:dyDescent="0.2">
      <c r="B17" s="9">
        <v>12</v>
      </c>
      <c r="C17" s="10">
        <f>SETTINGS!C21</f>
        <v>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52">
        <f t="shared" si="0"/>
        <v>100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52">
        <f t="shared" si="1"/>
        <v>100</v>
      </c>
    </row>
    <row r="18" spans="2:36" x14ac:dyDescent="0.2">
      <c r="B18" s="9">
        <v>13</v>
      </c>
      <c r="C18" s="10">
        <f>SETTINGS!C22</f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52">
        <f t="shared" si="0"/>
        <v>100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52">
        <f t="shared" si="1"/>
        <v>100</v>
      </c>
    </row>
    <row r="19" spans="2:36" x14ac:dyDescent="0.2">
      <c r="B19" s="9">
        <v>14</v>
      </c>
      <c r="C19" s="10">
        <f>SETTINGS!C23</f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52">
        <f t="shared" si="0"/>
        <v>100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52">
        <f t="shared" si="1"/>
        <v>100</v>
      </c>
    </row>
    <row r="20" spans="2:36" x14ac:dyDescent="0.2">
      <c r="B20" s="9">
        <v>15</v>
      </c>
      <c r="C20" s="10">
        <f>SETTINGS!C24</f>
        <v>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52">
        <f t="shared" si="0"/>
        <v>100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52">
        <f t="shared" si="1"/>
        <v>100</v>
      </c>
    </row>
    <row r="21" spans="2:36" x14ac:dyDescent="0.2">
      <c r="B21" s="9">
        <v>16</v>
      </c>
      <c r="C21" s="10">
        <f>SETTINGS!C25</f>
        <v>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52">
        <f t="shared" si="0"/>
        <v>100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52">
        <f t="shared" si="1"/>
        <v>100</v>
      </c>
    </row>
    <row r="22" spans="2:36" x14ac:dyDescent="0.2">
      <c r="B22" s="9">
        <v>17</v>
      </c>
      <c r="C22" s="10">
        <f>SETTINGS!C26</f>
        <v>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52">
        <f t="shared" si="0"/>
        <v>100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52">
        <f t="shared" si="1"/>
        <v>100</v>
      </c>
    </row>
    <row r="23" spans="2:36" x14ac:dyDescent="0.2">
      <c r="B23" s="9">
        <v>18</v>
      </c>
      <c r="C23" s="10">
        <f>SETTINGS!C27</f>
        <v>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52">
        <f t="shared" si="0"/>
        <v>100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52">
        <f t="shared" si="1"/>
        <v>100</v>
      </c>
    </row>
    <row r="24" spans="2:36" x14ac:dyDescent="0.2">
      <c r="B24" s="9">
        <v>19</v>
      </c>
      <c r="C24" s="10">
        <f>SETTINGS!C28</f>
        <v>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52">
        <f t="shared" si="0"/>
        <v>100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52">
        <f t="shared" si="1"/>
        <v>100</v>
      </c>
    </row>
    <row r="25" spans="2:36" x14ac:dyDescent="0.2">
      <c r="B25" s="9">
        <v>20</v>
      </c>
      <c r="C25" s="10">
        <f>SETTINGS!C29</f>
        <v>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52">
        <f t="shared" si="0"/>
        <v>100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52">
        <f t="shared" si="1"/>
        <v>100</v>
      </c>
    </row>
    <row r="26" spans="2:36" x14ac:dyDescent="0.2">
      <c r="B26" s="9">
        <v>21</v>
      </c>
      <c r="C26" s="10">
        <f>SETTINGS!C30</f>
        <v>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52">
        <f t="shared" si="0"/>
        <v>100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52">
        <f t="shared" si="1"/>
        <v>100</v>
      </c>
    </row>
    <row r="27" spans="2:36" x14ac:dyDescent="0.2">
      <c r="B27" s="9">
        <v>22</v>
      </c>
      <c r="C27" s="10">
        <f>SETTINGS!C31</f>
        <v>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52">
        <f t="shared" si="0"/>
        <v>100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52">
        <f t="shared" si="1"/>
        <v>100</v>
      </c>
    </row>
    <row r="28" spans="2:36" x14ac:dyDescent="0.2">
      <c r="B28" s="9">
        <v>23</v>
      </c>
      <c r="C28" s="10">
        <f>SETTINGS!C32</f>
        <v>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52">
        <f t="shared" si="0"/>
        <v>100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52">
        <f t="shared" si="1"/>
        <v>100</v>
      </c>
    </row>
    <row r="29" spans="2:36" x14ac:dyDescent="0.2">
      <c r="B29" s="9">
        <v>24</v>
      </c>
      <c r="C29" s="10">
        <f>SETTINGS!C33</f>
        <v>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52">
        <f t="shared" si="0"/>
        <v>100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52">
        <f t="shared" si="1"/>
        <v>100</v>
      </c>
    </row>
    <row r="30" spans="2:36" x14ac:dyDescent="0.2">
      <c r="B30" s="9">
        <v>25</v>
      </c>
      <c r="C30" s="10">
        <f>SETTINGS!C34</f>
        <v>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52">
        <f t="shared" si="0"/>
        <v>100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52">
        <f t="shared" si="1"/>
        <v>100</v>
      </c>
    </row>
    <row r="31" spans="2:36" x14ac:dyDescent="0.2">
      <c r="B31" s="9">
        <v>26</v>
      </c>
      <c r="C31" s="10">
        <f>SETTINGS!C35</f>
        <v>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52">
        <f t="shared" si="0"/>
        <v>100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52">
        <f t="shared" si="1"/>
        <v>100</v>
      </c>
    </row>
    <row r="32" spans="2:36" x14ac:dyDescent="0.2">
      <c r="B32" s="9">
        <v>27</v>
      </c>
      <c r="C32" s="10">
        <f>SETTINGS!C36</f>
        <v>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52">
        <f t="shared" si="0"/>
        <v>100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52">
        <f t="shared" si="1"/>
        <v>100</v>
      </c>
    </row>
    <row r="33" spans="2:36" x14ac:dyDescent="0.2">
      <c r="B33" s="9">
        <v>28</v>
      </c>
      <c r="C33" s="10">
        <f>SETTINGS!C37</f>
        <v>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52">
        <f t="shared" si="0"/>
        <v>100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52">
        <f t="shared" si="1"/>
        <v>100</v>
      </c>
    </row>
    <row r="34" spans="2:36" x14ac:dyDescent="0.2">
      <c r="B34" s="9">
        <v>29</v>
      </c>
      <c r="C34" s="10">
        <f>SETTINGS!C38</f>
        <v>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52">
        <f t="shared" si="0"/>
        <v>100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52">
        <f t="shared" si="1"/>
        <v>100</v>
      </c>
    </row>
    <row r="35" spans="2:36" x14ac:dyDescent="0.2">
      <c r="B35" s="9">
        <v>30</v>
      </c>
      <c r="C35" s="10">
        <f>SETTINGS!C39</f>
        <v>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52">
        <f t="shared" si="0"/>
        <v>100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52">
        <f t="shared" si="1"/>
        <v>100</v>
      </c>
    </row>
    <row r="36" spans="2:36" x14ac:dyDescent="0.2">
      <c r="B36" s="9">
        <v>31</v>
      </c>
      <c r="C36" s="10">
        <f>SETTINGS!C40</f>
        <v>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52">
        <f t="shared" si="0"/>
        <v>100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52">
        <f t="shared" si="1"/>
        <v>100</v>
      </c>
    </row>
    <row r="37" spans="2:36" x14ac:dyDescent="0.2">
      <c r="B37" s="9">
        <v>32</v>
      </c>
      <c r="C37" s="10">
        <f>SETTINGS!C41</f>
        <v>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52">
        <f t="shared" si="0"/>
        <v>100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52">
        <f t="shared" si="1"/>
        <v>100</v>
      </c>
    </row>
    <row r="38" spans="2:36" x14ac:dyDescent="0.2">
      <c r="B38" s="9">
        <v>33</v>
      </c>
      <c r="C38" s="10">
        <f>SETTINGS!C42</f>
        <v>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2">
        <f t="shared" si="0"/>
        <v>100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52">
        <f t="shared" si="1"/>
        <v>100</v>
      </c>
    </row>
    <row r="39" spans="2:36" x14ac:dyDescent="0.2">
      <c r="B39" s="9">
        <v>34</v>
      </c>
      <c r="C39" s="10">
        <f>SETTINGS!C43</f>
        <v>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52">
        <f t="shared" si="0"/>
        <v>100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52">
        <f t="shared" si="1"/>
        <v>100</v>
      </c>
    </row>
    <row r="40" spans="2:36" x14ac:dyDescent="0.2">
      <c r="B40" s="9">
        <v>35</v>
      </c>
      <c r="C40" s="10">
        <f>SETTINGS!C44</f>
        <v>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52">
        <f t="shared" si="0"/>
        <v>100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52">
        <f t="shared" si="1"/>
        <v>100</v>
      </c>
    </row>
    <row r="41" spans="2:36" x14ac:dyDescent="0.2">
      <c r="B41" s="9">
        <v>36</v>
      </c>
      <c r="C41" s="10">
        <f>SETTINGS!C45</f>
        <v>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52">
        <f t="shared" si="0"/>
        <v>100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52">
        <f t="shared" si="1"/>
        <v>100</v>
      </c>
    </row>
    <row r="42" spans="2:36" x14ac:dyDescent="0.2">
      <c r="B42" s="9">
        <v>37</v>
      </c>
      <c r="C42" s="10">
        <f>SETTINGS!C46</f>
        <v>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52">
        <f t="shared" si="0"/>
        <v>100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52">
        <f t="shared" si="1"/>
        <v>100</v>
      </c>
    </row>
    <row r="43" spans="2:36" x14ac:dyDescent="0.2">
      <c r="B43" s="9">
        <v>38</v>
      </c>
      <c r="C43" s="10">
        <f>SETTINGS!C47</f>
        <v>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52">
        <f t="shared" si="0"/>
        <v>100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52">
        <f t="shared" si="1"/>
        <v>100</v>
      </c>
    </row>
    <row r="44" spans="2:36" x14ac:dyDescent="0.2">
      <c r="B44" s="9">
        <v>39</v>
      </c>
      <c r="C44" s="10">
        <f>SETTINGS!C48</f>
        <v>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52">
        <f t="shared" si="0"/>
        <v>100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52">
        <f t="shared" si="1"/>
        <v>100</v>
      </c>
    </row>
    <row r="45" spans="2:36" x14ac:dyDescent="0.2">
      <c r="B45" s="9">
        <v>40</v>
      </c>
      <c r="C45" s="10">
        <f>SETTINGS!C49</f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52">
        <f t="shared" si="0"/>
        <v>100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52">
        <f t="shared" si="1"/>
        <v>100</v>
      </c>
    </row>
    <row r="46" spans="2:36" x14ac:dyDescent="0.2">
      <c r="B46" s="9">
        <v>41</v>
      </c>
      <c r="C46" s="10">
        <f>SETTINGS!C50</f>
        <v>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52">
        <f t="shared" si="0"/>
        <v>100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52">
        <f t="shared" si="1"/>
        <v>100</v>
      </c>
    </row>
    <row r="47" spans="2:36" x14ac:dyDescent="0.2">
      <c r="B47" s="9">
        <v>42</v>
      </c>
      <c r="C47" s="10">
        <f>SETTINGS!C51</f>
        <v>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52">
        <f t="shared" si="0"/>
        <v>100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52">
        <f t="shared" si="1"/>
        <v>100</v>
      </c>
    </row>
    <row r="48" spans="2:36" x14ac:dyDescent="0.2">
      <c r="B48" s="9">
        <v>43</v>
      </c>
      <c r="C48" s="10">
        <f>SETTINGS!C52</f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52">
        <f t="shared" si="0"/>
        <v>100</v>
      </c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52">
        <f t="shared" si="1"/>
        <v>100</v>
      </c>
    </row>
    <row r="49" spans="2:36" x14ac:dyDescent="0.2">
      <c r="B49" s="9">
        <v>44</v>
      </c>
      <c r="C49" s="10">
        <f>SETTINGS!C53</f>
        <v>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52">
        <f t="shared" si="0"/>
        <v>100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52">
        <f t="shared" si="1"/>
        <v>100</v>
      </c>
    </row>
    <row r="50" spans="2:36" x14ac:dyDescent="0.2">
      <c r="B50" s="9">
        <v>45</v>
      </c>
      <c r="C50" s="10">
        <f>SETTINGS!C54</f>
        <v>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52">
        <f t="shared" si="0"/>
        <v>100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52">
        <f t="shared" si="1"/>
        <v>100</v>
      </c>
    </row>
    <row r="51" spans="2:36" x14ac:dyDescent="0.2">
      <c r="B51" s="9">
        <v>46</v>
      </c>
      <c r="C51" s="10">
        <f>SETTINGS!C55</f>
        <v>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2">
        <f t="shared" si="0"/>
        <v>100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52">
        <f t="shared" si="1"/>
        <v>100</v>
      </c>
    </row>
    <row r="52" spans="2:36" x14ac:dyDescent="0.2">
      <c r="B52" s="9">
        <v>47</v>
      </c>
      <c r="C52" s="10">
        <f>SETTINGS!C56</f>
        <v>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2">
        <f t="shared" si="0"/>
        <v>100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52">
        <f t="shared" si="1"/>
        <v>100</v>
      </c>
    </row>
    <row r="53" spans="2:36" x14ac:dyDescent="0.2">
      <c r="B53" s="9">
        <v>48</v>
      </c>
      <c r="C53" s="10">
        <f>SETTINGS!C57</f>
        <v>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52">
        <f t="shared" si="0"/>
        <v>100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52">
        <f t="shared" si="1"/>
        <v>100</v>
      </c>
    </row>
    <row r="54" spans="2:36" x14ac:dyDescent="0.2">
      <c r="B54" s="9">
        <v>49</v>
      </c>
      <c r="C54" s="10">
        <f>SETTINGS!C58</f>
        <v>0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2">
        <f t="shared" si="0"/>
        <v>100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52">
        <f t="shared" si="1"/>
        <v>100</v>
      </c>
    </row>
    <row r="55" spans="2:36" x14ac:dyDescent="0.2">
      <c r="B55" s="9">
        <v>50</v>
      </c>
      <c r="C55" s="10">
        <f>SETTINGS!C59</f>
        <v>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52">
        <f t="shared" si="0"/>
        <v>100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52">
        <f t="shared" si="1"/>
        <v>100</v>
      </c>
    </row>
    <row r="56" spans="2:36" x14ac:dyDescent="0.2">
      <c r="B56" s="9">
        <v>51</v>
      </c>
      <c r="C56" s="10">
        <f>SETTINGS!C60</f>
        <v>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52">
        <f t="shared" si="0"/>
        <v>100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52">
        <f t="shared" si="1"/>
        <v>100</v>
      </c>
    </row>
    <row r="57" spans="2:36" x14ac:dyDescent="0.2">
      <c r="B57" s="9">
        <v>52</v>
      </c>
      <c r="C57" s="10">
        <f>SETTINGS!C61</f>
        <v>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52">
        <f t="shared" si="0"/>
        <v>100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52">
        <f t="shared" si="1"/>
        <v>100</v>
      </c>
    </row>
    <row r="58" spans="2:36" x14ac:dyDescent="0.2">
      <c r="B58" s="9">
        <v>53</v>
      </c>
      <c r="C58" s="10">
        <f>SETTINGS!C62</f>
        <v>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52">
        <f t="shared" si="0"/>
        <v>100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52">
        <f t="shared" si="1"/>
        <v>100</v>
      </c>
    </row>
    <row r="59" spans="2:36" x14ac:dyDescent="0.2">
      <c r="B59" s="9">
        <v>54</v>
      </c>
      <c r="C59" s="10">
        <f>SETTINGS!C63</f>
        <v>0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52">
        <f t="shared" si="0"/>
        <v>100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52">
        <f t="shared" si="1"/>
        <v>100</v>
      </c>
    </row>
    <row r="60" spans="2:36" x14ac:dyDescent="0.2">
      <c r="B60" s="9">
        <v>55</v>
      </c>
      <c r="C60" s="10">
        <f>SETTINGS!C64</f>
        <v>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52">
        <f t="shared" si="0"/>
        <v>100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52">
        <f t="shared" si="1"/>
        <v>100</v>
      </c>
    </row>
    <row r="61" spans="2:36" x14ac:dyDescent="0.2">
      <c r="B61" s="9">
        <v>56</v>
      </c>
      <c r="C61" s="10">
        <f>SETTINGS!C65</f>
        <v>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52">
        <f t="shared" si="0"/>
        <v>100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52">
        <f t="shared" si="1"/>
        <v>100</v>
      </c>
    </row>
    <row r="62" spans="2:36" x14ac:dyDescent="0.2">
      <c r="B62" s="9">
        <v>57</v>
      </c>
      <c r="C62" s="10">
        <f>SETTINGS!C66</f>
        <v>0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52">
        <f t="shared" si="0"/>
        <v>100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52">
        <f t="shared" si="1"/>
        <v>100</v>
      </c>
    </row>
    <row r="63" spans="2:36" x14ac:dyDescent="0.2">
      <c r="B63" s="9">
        <v>58</v>
      </c>
      <c r="C63" s="10">
        <f>SETTINGS!C67</f>
        <v>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52">
        <f t="shared" si="0"/>
        <v>100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52">
        <f t="shared" si="1"/>
        <v>100</v>
      </c>
    </row>
    <row r="64" spans="2:36" x14ac:dyDescent="0.2">
      <c r="B64" s="9">
        <v>59</v>
      </c>
      <c r="C64" s="10">
        <f>SETTINGS!C68</f>
        <v>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52">
        <f t="shared" si="0"/>
        <v>100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52">
        <f t="shared" si="1"/>
        <v>100</v>
      </c>
    </row>
    <row r="65" spans="2:36" x14ac:dyDescent="0.2">
      <c r="B65" s="9">
        <v>60</v>
      </c>
      <c r="C65" s="10">
        <f>SETTINGS!C69</f>
        <v>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52">
        <f t="shared" si="0"/>
        <v>100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52">
        <f t="shared" si="1"/>
        <v>100</v>
      </c>
    </row>
    <row r="66" spans="2:36" x14ac:dyDescent="0.2">
      <c r="B66" s="9">
        <v>61</v>
      </c>
      <c r="C66" s="10">
        <f>SETTINGS!C70</f>
        <v>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52">
        <f t="shared" ref="S66:S81" si="2">100-SUM(D66:R66)</f>
        <v>100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52">
        <f t="shared" ref="AJ66:AJ81" si="3">S66-SUM(U66:AI66)</f>
        <v>100</v>
      </c>
    </row>
    <row r="67" spans="2:36" x14ac:dyDescent="0.2">
      <c r="B67" s="9">
        <v>62</v>
      </c>
      <c r="C67" s="10">
        <f>SETTINGS!C71</f>
        <v>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52">
        <f t="shared" si="2"/>
        <v>100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52">
        <f t="shared" si="3"/>
        <v>100</v>
      </c>
    </row>
    <row r="68" spans="2:36" x14ac:dyDescent="0.2">
      <c r="B68" s="9">
        <v>63</v>
      </c>
      <c r="C68" s="10">
        <f>SETTINGS!C72</f>
        <v>0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52">
        <f t="shared" si="2"/>
        <v>100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52">
        <f t="shared" si="3"/>
        <v>100</v>
      </c>
    </row>
    <row r="69" spans="2:36" x14ac:dyDescent="0.2">
      <c r="B69" s="9">
        <v>64</v>
      </c>
      <c r="C69" s="10">
        <f>SETTINGS!C73</f>
        <v>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52">
        <f t="shared" si="2"/>
        <v>100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52">
        <f t="shared" si="3"/>
        <v>100</v>
      </c>
    </row>
    <row r="70" spans="2:36" x14ac:dyDescent="0.2">
      <c r="B70" s="9">
        <v>65</v>
      </c>
      <c r="C70" s="10">
        <f>SETTINGS!C74</f>
        <v>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52">
        <f t="shared" si="2"/>
        <v>100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52">
        <f t="shared" si="3"/>
        <v>100</v>
      </c>
    </row>
    <row r="71" spans="2:36" x14ac:dyDescent="0.2">
      <c r="B71" s="9">
        <v>66</v>
      </c>
      <c r="C71" s="10">
        <f>SETTINGS!C75</f>
        <v>0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52">
        <f t="shared" si="2"/>
        <v>100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52">
        <f t="shared" si="3"/>
        <v>100</v>
      </c>
    </row>
    <row r="72" spans="2:36" x14ac:dyDescent="0.2">
      <c r="B72" s="9">
        <v>67</v>
      </c>
      <c r="C72" s="10">
        <f>SETTINGS!C76</f>
        <v>0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52">
        <f t="shared" si="2"/>
        <v>100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52">
        <f t="shared" si="3"/>
        <v>100</v>
      </c>
    </row>
    <row r="73" spans="2:36" x14ac:dyDescent="0.2">
      <c r="B73" s="9">
        <v>68</v>
      </c>
      <c r="C73" s="10">
        <f>SETTINGS!C77</f>
        <v>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52">
        <f t="shared" si="2"/>
        <v>100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52">
        <f t="shared" si="3"/>
        <v>100</v>
      </c>
    </row>
    <row r="74" spans="2:36" x14ac:dyDescent="0.2">
      <c r="B74" s="9">
        <v>69</v>
      </c>
      <c r="C74" s="10">
        <f>SETTINGS!C78</f>
        <v>0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52">
        <f t="shared" si="2"/>
        <v>100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52">
        <f t="shared" si="3"/>
        <v>100</v>
      </c>
    </row>
    <row r="75" spans="2:36" x14ac:dyDescent="0.2">
      <c r="B75" s="9">
        <v>70</v>
      </c>
      <c r="C75" s="10">
        <f>SETTINGS!C79</f>
        <v>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52">
        <f t="shared" si="2"/>
        <v>100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52">
        <f t="shared" si="3"/>
        <v>100</v>
      </c>
    </row>
    <row r="76" spans="2:36" x14ac:dyDescent="0.2">
      <c r="B76" s="9">
        <v>71</v>
      </c>
      <c r="C76" s="10">
        <f>SETTINGS!C80</f>
        <v>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52">
        <f t="shared" si="2"/>
        <v>100</v>
      </c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52">
        <f t="shared" si="3"/>
        <v>100</v>
      </c>
    </row>
    <row r="77" spans="2:36" x14ac:dyDescent="0.2">
      <c r="B77" s="9">
        <v>72</v>
      </c>
      <c r="C77" s="10">
        <f>SETTINGS!C81</f>
        <v>0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52">
        <f t="shared" si="2"/>
        <v>100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52">
        <f t="shared" si="3"/>
        <v>100</v>
      </c>
    </row>
    <row r="78" spans="2:36" x14ac:dyDescent="0.2">
      <c r="B78" s="9">
        <v>73</v>
      </c>
      <c r="C78" s="10">
        <f>SETTINGS!C82</f>
        <v>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52">
        <f t="shared" si="2"/>
        <v>100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52">
        <f t="shared" si="3"/>
        <v>100</v>
      </c>
    </row>
    <row r="79" spans="2:36" x14ac:dyDescent="0.2">
      <c r="B79" s="9">
        <v>74</v>
      </c>
      <c r="C79" s="10">
        <f>SETTINGS!C83</f>
        <v>0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52">
        <f t="shared" si="2"/>
        <v>100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52">
        <f t="shared" si="3"/>
        <v>100</v>
      </c>
    </row>
    <row r="80" spans="2:36" x14ac:dyDescent="0.2">
      <c r="B80" s="9">
        <v>75</v>
      </c>
      <c r="C80" s="10">
        <f>SETTINGS!C84</f>
        <v>0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52">
        <f t="shared" si="2"/>
        <v>100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52">
        <f t="shared" si="3"/>
        <v>100</v>
      </c>
    </row>
    <row r="81" spans="2:36" x14ac:dyDescent="0.2">
      <c r="B81" s="9">
        <v>76</v>
      </c>
      <c r="C81" s="10">
        <f>SETTINGS!C85</f>
        <v>0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52">
        <f t="shared" si="2"/>
        <v>100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52">
        <f t="shared" si="3"/>
        <v>100</v>
      </c>
    </row>
  </sheetData>
  <mergeCells count="36">
    <mergeCell ref="AF2:AF5"/>
    <mergeCell ref="AG2:AG5"/>
    <mergeCell ref="AH2:AH5"/>
    <mergeCell ref="AI2:AI5"/>
    <mergeCell ref="AJ2:AJ5"/>
    <mergeCell ref="Z2:Z5"/>
    <mergeCell ref="AA2:AA5"/>
    <mergeCell ref="AB2:AB5"/>
    <mergeCell ref="AC2:AC5"/>
    <mergeCell ref="AD2:AD5"/>
    <mergeCell ref="AE2:AE5"/>
    <mergeCell ref="Q2:Q5"/>
    <mergeCell ref="R2:R5"/>
    <mergeCell ref="S2:S5"/>
    <mergeCell ref="D1:S1"/>
    <mergeCell ref="U1:AJ1"/>
    <mergeCell ref="U2:U5"/>
    <mergeCell ref="V2:V5"/>
    <mergeCell ref="W2:W5"/>
    <mergeCell ref="X2:X5"/>
    <mergeCell ref="Y2:Y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B2:B5"/>
    <mergeCell ref="C2:C5"/>
    <mergeCell ref="D2:D5"/>
    <mergeCell ref="E2:E5"/>
    <mergeCell ref="F2:F5"/>
    <mergeCell ref="G2:G5"/>
  </mergeCells>
  <conditionalFormatting sqref="S6:S81">
    <cfRule type="cellIs" dxfId="30" priority="4" operator="lessThan">
      <formula>41</formula>
    </cfRule>
    <cfRule type="cellIs" dxfId="29" priority="5" operator="lessThan">
      <formula>70</formula>
    </cfRule>
    <cfRule type="cellIs" dxfId="28" priority="6" operator="greaterThan">
      <formula>69</formula>
    </cfRule>
  </conditionalFormatting>
  <conditionalFormatting sqref="AJ6:AJ81">
    <cfRule type="cellIs" dxfId="27" priority="1" operator="lessThan">
      <formula>41</formula>
    </cfRule>
    <cfRule type="cellIs" dxfId="26" priority="2" operator="lessThan">
      <formula>70</formula>
    </cfRule>
    <cfRule type="cellIs" dxfId="25" priority="3" operator="greaterThan">
      <formula>69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J82"/>
  <sheetViews>
    <sheetView topLeftCell="A2" zoomScaleNormal="100" workbookViewId="0">
      <pane xSplit="3" ySplit="5" topLeftCell="J7" activePane="bottomRight" state="frozen"/>
      <selection activeCell="A2" sqref="A2"/>
      <selection pane="topRight" activeCell="D2" sqref="D2"/>
      <selection pane="bottomLeft" activeCell="A7" sqref="A7"/>
      <selection pane="bottomRight" activeCell="AG7" sqref="AG7"/>
    </sheetView>
  </sheetViews>
  <sheetFormatPr defaultColWidth="9.109375" defaultRowHeight="13.2" x14ac:dyDescent="0.25"/>
  <cols>
    <col min="1" max="1" width="2.5546875" style="1" customWidth="1"/>
    <col min="2" max="2" width="5" style="1" customWidth="1"/>
    <col min="3" max="3" width="32.109375" style="1" customWidth="1"/>
    <col min="4" max="4" width="9.77734375" style="80" customWidth="1"/>
    <col min="5" max="11" width="5.77734375" style="1" customWidth="1"/>
    <col min="12" max="12" width="9.109375" style="7"/>
    <col min="13" max="19" width="5.77734375" style="1" customWidth="1"/>
    <col min="20" max="20" width="9.109375" style="7"/>
    <col min="21" max="21" width="5.77734375" style="1" customWidth="1"/>
    <col min="22" max="22" width="9.109375" style="7"/>
    <col min="23" max="23" width="5.77734375" style="1" customWidth="1"/>
    <col min="24" max="24" width="9.109375" style="7"/>
    <col min="25" max="25" width="7.109375" style="7" hidden="1" customWidth="1"/>
    <col min="26" max="26" width="0" style="7" hidden="1" customWidth="1"/>
    <col min="27" max="29" width="9.109375" style="7"/>
    <col min="30" max="30" width="9.109375" style="1"/>
    <col min="31" max="31" width="9.109375" style="1" customWidth="1"/>
    <col min="32" max="32" width="9.21875" style="7" bestFit="1" customWidth="1"/>
    <col min="33" max="33" width="11.5546875" style="7" bestFit="1" customWidth="1"/>
    <col min="34" max="34" width="8" style="53" customWidth="1"/>
    <col min="35" max="35" width="9.109375" style="1"/>
    <col min="36" max="57" width="9.109375" style="1" customWidth="1"/>
    <col min="58" max="16384" width="9.109375" style="1"/>
  </cols>
  <sheetData>
    <row r="2" spans="2:62" ht="13.8" x14ac:dyDescent="0.25">
      <c r="E2" s="124" t="s">
        <v>59</v>
      </c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I2" s="124" t="s">
        <v>60</v>
      </c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</row>
    <row r="3" spans="2:62" ht="12.75" customHeight="1" x14ac:dyDescent="0.25">
      <c r="B3" s="127" t="s">
        <v>15</v>
      </c>
      <c r="C3" s="127" t="s">
        <v>1</v>
      </c>
      <c r="D3" s="130" t="s">
        <v>77</v>
      </c>
      <c r="E3" s="110" t="s">
        <v>2</v>
      </c>
      <c r="F3" s="110"/>
      <c r="G3" s="110"/>
      <c r="H3" s="110"/>
      <c r="I3" s="110"/>
      <c r="J3" s="110"/>
      <c r="K3" s="110"/>
      <c r="L3" s="110"/>
      <c r="M3" s="110" t="s">
        <v>8</v>
      </c>
      <c r="N3" s="110"/>
      <c r="O3" s="110"/>
      <c r="P3" s="110"/>
      <c r="Q3" s="110"/>
      <c r="R3" s="110"/>
      <c r="S3" s="110"/>
      <c r="T3" s="110"/>
      <c r="U3" s="110" t="s">
        <v>13</v>
      </c>
      <c r="V3" s="110"/>
      <c r="W3" s="110" t="s">
        <v>62</v>
      </c>
      <c r="X3" s="110"/>
      <c r="Y3" s="110" t="s">
        <v>74</v>
      </c>
      <c r="Z3" s="110"/>
      <c r="AA3" s="116" t="s">
        <v>74</v>
      </c>
      <c r="AB3" s="117"/>
      <c r="AC3" s="118"/>
      <c r="AD3" s="110" t="s">
        <v>54</v>
      </c>
      <c r="AE3" s="110"/>
      <c r="AF3" s="110"/>
      <c r="AG3" s="105" t="s">
        <v>16</v>
      </c>
      <c r="AI3" s="116" t="s">
        <v>2</v>
      </c>
      <c r="AJ3" s="117"/>
      <c r="AK3" s="117"/>
      <c r="AL3" s="117"/>
      <c r="AM3" s="117"/>
      <c r="AN3" s="117"/>
      <c r="AO3" s="117"/>
      <c r="AP3" s="118"/>
      <c r="AQ3" s="116" t="s">
        <v>8</v>
      </c>
      <c r="AR3" s="117"/>
      <c r="AS3" s="117"/>
      <c r="AT3" s="117"/>
      <c r="AU3" s="117"/>
      <c r="AV3" s="117"/>
      <c r="AW3" s="117"/>
      <c r="AX3" s="118"/>
      <c r="AY3" s="116" t="s">
        <v>13</v>
      </c>
      <c r="AZ3" s="118"/>
      <c r="BA3" s="116" t="s">
        <v>62</v>
      </c>
      <c r="BB3" s="118"/>
      <c r="BC3" s="116" t="s">
        <v>74</v>
      </c>
      <c r="BD3" s="117"/>
      <c r="BE3" s="118"/>
      <c r="BF3" s="116" t="s">
        <v>54</v>
      </c>
      <c r="BG3" s="117"/>
      <c r="BH3" s="118"/>
      <c r="BI3" s="105" t="s">
        <v>78</v>
      </c>
      <c r="BJ3" s="55"/>
    </row>
    <row r="4" spans="2:62" ht="15" customHeight="1" x14ac:dyDescent="0.25">
      <c r="B4" s="127"/>
      <c r="C4" s="127"/>
      <c r="D4" s="131"/>
      <c r="E4" s="2" t="s">
        <v>12</v>
      </c>
      <c r="F4" s="2" t="s">
        <v>12</v>
      </c>
      <c r="G4" s="2" t="s">
        <v>12</v>
      </c>
      <c r="H4" s="51" t="s">
        <v>12</v>
      </c>
      <c r="I4" s="51" t="s">
        <v>12</v>
      </c>
      <c r="J4" s="125" t="s">
        <v>18</v>
      </c>
      <c r="K4" s="108" t="s">
        <v>19</v>
      </c>
      <c r="L4" s="120" t="s">
        <v>7</v>
      </c>
      <c r="M4" s="2" t="s">
        <v>12</v>
      </c>
      <c r="N4" s="2" t="s">
        <v>12</v>
      </c>
      <c r="O4" s="2" t="s">
        <v>12</v>
      </c>
      <c r="P4" s="51" t="s">
        <v>12</v>
      </c>
      <c r="Q4" s="51" t="s">
        <v>12</v>
      </c>
      <c r="R4" s="125" t="s">
        <v>18</v>
      </c>
      <c r="S4" s="108" t="s">
        <v>19</v>
      </c>
      <c r="T4" s="120" t="s">
        <v>7</v>
      </c>
      <c r="U4" s="101" t="s">
        <v>6</v>
      </c>
      <c r="V4" s="113" t="s">
        <v>7</v>
      </c>
      <c r="W4" s="111">
        <v>100</v>
      </c>
      <c r="X4" s="113" t="s">
        <v>7</v>
      </c>
      <c r="Y4" s="111">
        <v>100</v>
      </c>
      <c r="Z4" s="113" t="s">
        <v>7</v>
      </c>
      <c r="AA4" s="4" t="s">
        <v>12</v>
      </c>
      <c r="AB4" s="119" t="s">
        <v>14</v>
      </c>
      <c r="AC4" s="120" t="s">
        <v>7</v>
      </c>
      <c r="AD4" s="4" t="s">
        <v>12</v>
      </c>
      <c r="AE4" s="119" t="s">
        <v>14</v>
      </c>
      <c r="AF4" s="120" t="s">
        <v>7</v>
      </c>
      <c r="AG4" s="106"/>
      <c r="AI4" s="2" t="s">
        <v>12</v>
      </c>
      <c r="AJ4" s="2" t="s">
        <v>12</v>
      </c>
      <c r="AK4" s="2" t="s">
        <v>12</v>
      </c>
      <c r="AL4" s="51" t="s">
        <v>12</v>
      </c>
      <c r="AM4" s="51" t="s">
        <v>12</v>
      </c>
      <c r="AN4" s="125" t="s">
        <v>18</v>
      </c>
      <c r="AO4" s="108" t="s">
        <v>19</v>
      </c>
      <c r="AP4" s="120" t="s">
        <v>7</v>
      </c>
      <c r="AQ4" s="2" t="s">
        <v>12</v>
      </c>
      <c r="AR4" s="2" t="s">
        <v>12</v>
      </c>
      <c r="AS4" s="2" t="s">
        <v>12</v>
      </c>
      <c r="AT4" s="51" t="s">
        <v>12</v>
      </c>
      <c r="AU4" s="51" t="s">
        <v>12</v>
      </c>
      <c r="AV4" s="125" t="s">
        <v>18</v>
      </c>
      <c r="AW4" s="108" t="s">
        <v>19</v>
      </c>
      <c r="AX4" s="120" t="s">
        <v>7</v>
      </c>
      <c r="AY4" s="101" t="s">
        <v>6</v>
      </c>
      <c r="AZ4" s="113" t="s">
        <v>7</v>
      </c>
      <c r="BA4" s="101">
        <v>100</v>
      </c>
      <c r="BB4" s="113" t="s">
        <v>7</v>
      </c>
      <c r="BC4" s="4" t="s">
        <v>12</v>
      </c>
      <c r="BD4" s="108" t="s">
        <v>14</v>
      </c>
      <c r="BE4" s="113" t="s">
        <v>7</v>
      </c>
      <c r="BF4" s="4" t="s">
        <v>12</v>
      </c>
      <c r="BG4" s="108" t="s">
        <v>14</v>
      </c>
      <c r="BH4" s="120" t="s">
        <v>7</v>
      </c>
      <c r="BI4" s="106"/>
      <c r="BJ4" s="56"/>
    </row>
    <row r="5" spans="2:62" ht="15" customHeight="1" x14ac:dyDescent="0.25">
      <c r="B5" s="127"/>
      <c r="C5" s="127"/>
      <c r="D5" s="131"/>
      <c r="E5" s="3" t="s">
        <v>3</v>
      </c>
      <c r="F5" s="3" t="s">
        <v>4</v>
      </c>
      <c r="G5" s="3" t="s">
        <v>5</v>
      </c>
      <c r="H5" s="52" t="s">
        <v>55</v>
      </c>
      <c r="I5" s="52" t="s">
        <v>56</v>
      </c>
      <c r="J5" s="126"/>
      <c r="K5" s="109"/>
      <c r="L5" s="121"/>
      <c r="M5" s="3" t="s">
        <v>9</v>
      </c>
      <c r="N5" s="3" t="s">
        <v>10</v>
      </c>
      <c r="O5" s="3" t="s">
        <v>11</v>
      </c>
      <c r="P5" s="52" t="s">
        <v>57</v>
      </c>
      <c r="Q5" s="52" t="s">
        <v>58</v>
      </c>
      <c r="R5" s="126"/>
      <c r="S5" s="109"/>
      <c r="T5" s="121"/>
      <c r="U5" s="123"/>
      <c r="V5" s="114"/>
      <c r="W5" s="111"/>
      <c r="X5" s="114"/>
      <c r="Y5" s="111"/>
      <c r="Z5" s="114"/>
      <c r="AA5" s="5" t="s">
        <v>6</v>
      </c>
      <c r="AB5" s="119"/>
      <c r="AC5" s="121"/>
      <c r="AD5" s="5" t="s">
        <v>6</v>
      </c>
      <c r="AE5" s="119"/>
      <c r="AF5" s="121"/>
      <c r="AG5" s="106"/>
      <c r="AI5" s="3" t="s">
        <v>3</v>
      </c>
      <c r="AJ5" s="3" t="s">
        <v>4</v>
      </c>
      <c r="AK5" s="3" t="s">
        <v>5</v>
      </c>
      <c r="AL5" s="52" t="s">
        <v>55</v>
      </c>
      <c r="AM5" s="52" t="s">
        <v>56</v>
      </c>
      <c r="AN5" s="126"/>
      <c r="AO5" s="109"/>
      <c r="AP5" s="121"/>
      <c r="AQ5" s="3" t="s">
        <v>9</v>
      </c>
      <c r="AR5" s="3" t="s">
        <v>10</v>
      </c>
      <c r="AS5" s="3" t="s">
        <v>11</v>
      </c>
      <c r="AT5" s="52" t="s">
        <v>57</v>
      </c>
      <c r="AU5" s="52" t="s">
        <v>58</v>
      </c>
      <c r="AV5" s="126"/>
      <c r="AW5" s="109"/>
      <c r="AX5" s="121"/>
      <c r="AY5" s="123"/>
      <c r="AZ5" s="114"/>
      <c r="BA5" s="102"/>
      <c r="BB5" s="114"/>
      <c r="BC5" s="5" t="s">
        <v>6</v>
      </c>
      <c r="BD5" s="109"/>
      <c r="BE5" s="114"/>
      <c r="BF5" s="5" t="s">
        <v>6</v>
      </c>
      <c r="BG5" s="109"/>
      <c r="BH5" s="121"/>
      <c r="BI5" s="106"/>
      <c r="BJ5" s="57"/>
    </row>
    <row r="6" spans="2:62" ht="15.75" customHeight="1" thickBot="1" x14ac:dyDescent="0.3">
      <c r="B6" s="128"/>
      <c r="C6" s="129"/>
      <c r="D6" s="132"/>
      <c r="E6" s="14">
        <v>10</v>
      </c>
      <c r="F6" s="14">
        <v>0</v>
      </c>
      <c r="G6" s="14">
        <v>0</v>
      </c>
      <c r="H6" s="14">
        <v>0</v>
      </c>
      <c r="I6" s="14">
        <v>0</v>
      </c>
      <c r="J6" s="15">
        <f>SUM(E6:I6)</f>
        <v>10</v>
      </c>
      <c r="K6" s="15">
        <f>J6/$J$6*50+50</f>
        <v>100</v>
      </c>
      <c r="L6" s="122"/>
      <c r="M6" s="14">
        <v>10</v>
      </c>
      <c r="N6" s="14">
        <v>0</v>
      </c>
      <c r="O6" s="14">
        <v>0</v>
      </c>
      <c r="P6" s="14">
        <v>0</v>
      </c>
      <c r="Q6" s="14">
        <v>0</v>
      </c>
      <c r="R6" s="15">
        <f>SUM(M6:Q6)</f>
        <v>10</v>
      </c>
      <c r="S6" s="15">
        <f t="shared" ref="S6:S37" si="0">R6/$R$6*50+50</f>
        <v>100</v>
      </c>
      <c r="T6" s="122"/>
      <c r="U6" s="16">
        <v>100</v>
      </c>
      <c r="V6" s="115"/>
      <c r="W6" s="112"/>
      <c r="X6" s="115"/>
      <c r="Y6" s="112"/>
      <c r="Z6" s="115"/>
      <c r="AA6" s="14">
        <v>30</v>
      </c>
      <c r="AB6" s="15">
        <f t="shared" ref="AB6:AB37" si="1">AA6/$AA$6*50+50</f>
        <v>100</v>
      </c>
      <c r="AC6" s="122"/>
      <c r="AD6" s="14">
        <v>30</v>
      </c>
      <c r="AE6" s="15">
        <f t="shared" ref="AE6:AE37" si="2">AD6/$AD$6*50+50</f>
        <v>100</v>
      </c>
      <c r="AF6" s="122"/>
      <c r="AG6" s="107"/>
      <c r="AI6" s="14">
        <v>10</v>
      </c>
      <c r="AJ6" s="14">
        <v>0</v>
      </c>
      <c r="AK6" s="14">
        <v>0</v>
      </c>
      <c r="AL6" s="14">
        <v>0</v>
      </c>
      <c r="AM6" s="14">
        <v>0</v>
      </c>
      <c r="AN6" s="15">
        <f>SUM(AI6:AM6)</f>
        <v>10</v>
      </c>
      <c r="AO6" s="15">
        <f>AN6/$AN$6*50+50</f>
        <v>100</v>
      </c>
      <c r="AP6" s="122"/>
      <c r="AQ6" s="14">
        <v>10</v>
      </c>
      <c r="AR6" s="14">
        <v>0</v>
      </c>
      <c r="AS6" s="14">
        <v>0</v>
      </c>
      <c r="AT6" s="14">
        <v>0</v>
      </c>
      <c r="AU6" s="14">
        <v>0</v>
      </c>
      <c r="AV6" s="15">
        <f>SUM(AQ6:AU6)</f>
        <v>10</v>
      </c>
      <c r="AW6" s="15">
        <f>AV6/$AV$6*50+50</f>
        <v>100</v>
      </c>
      <c r="AX6" s="122"/>
      <c r="AY6" s="16">
        <v>100</v>
      </c>
      <c r="AZ6" s="115"/>
      <c r="BA6" s="103"/>
      <c r="BB6" s="115"/>
      <c r="BC6" s="14">
        <v>100</v>
      </c>
      <c r="BD6" s="15">
        <f>BC6/$BC$6*50+50</f>
        <v>100</v>
      </c>
      <c r="BE6" s="115"/>
      <c r="BF6" s="14">
        <v>100</v>
      </c>
      <c r="BG6" s="15">
        <f>BF6/$BF$6*50+50</f>
        <v>100</v>
      </c>
      <c r="BH6" s="122"/>
      <c r="BI6" s="107"/>
      <c r="BJ6" s="58"/>
    </row>
    <row r="7" spans="2:62" ht="13.8" thickTop="1" x14ac:dyDescent="0.25">
      <c r="B7" s="10">
        <v>1</v>
      </c>
      <c r="C7" s="79">
        <f>SETTINGS!C10</f>
        <v>0</v>
      </c>
      <c r="D7" s="81" t="s">
        <v>81</v>
      </c>
      <c r="E7" s="9"/>
      <c r="F7" s="9"/>
      <c r="G7" s="9"/>
      <c r="H7" s="9"/>
      <c r="I7" s="9"/>
      <c r="J7" s="11">
        <f>SUM(E7:I7)</f>
        <v>0</v>
      </c>
      <c r="K7" s="11">
        <f>J7/$J$6*50+50</f>
        <v>50</v>
      </c>
      <c r="L7" s="12">
        <f>K7*(0.01*IF(D7="lab",SETTINGS!$F$22,SETTINGS!$F$29))</f>
        <v>0</v>
      </c>
      <c r="M7" s="9"/>
      <c r="N7" s="9"/>
      <c r="O7" s="9"/>
      <c r="P7" s="9"/>
      <c r="Q7" s="9"/>
      <c r="R7" s="11">
        <f>SUM(M7:Q7)</f>
        <v>0</v>
      </c>
      <c r="S7" s="11">
        <f t="shared" si="0"/>
        <v>50</v>
      </c>
      <c r="T7" s="12">
        <f>S7*(0.01*IF(D7="lab",SETTINGS!$F$23,SETTINGS!$F$30))</f>
        <v>0</v>
      </c>
      <c r="U7" s="9">
        <f>ATT!S6</f>
        <v>100</v>
      </c>
      <c r="V7" s="12">
        <f>U7*(0.01*IF(D7="lab",SETTINGS!$F$21,SETTINGS!$F$28))</f>
        <v>0</v>
      </c>
      <c r="W7" s="9">
        <v>100</v>
      </c>
      <c r="X7" s="12">
        <f>W7*(0.01*IF(D7="lab",SETTINGS!$F$24,SETTINGS!$F$31))</f>
        <v>0</v>
      </c>
      <c r="Y7" s="71">
        <v>0</v>
      </c>
      <c r="Z7" s="12" t="e">
        <f>Y7*(0.01*IF(#REF!="ONLINE", SETTINGS!$F$26, IF('MID-FINAL'!#REF!="BLENDED",SETTINGS!$F$34, IF('MID-FINAL'!#REF!="MODULAR",SETTINGS!$F$42))))</f>
        <v>#REF!</v>
      </c>
      <c r="AA7" s="82"/>
      <c r="AB7" s="83">
        <f t="shared" si="1"/>
        <v>50</v>
      </c>
      <c r="AC7" s="12">
        <f>AB7*(0.01*IF(D7="lab",SETTINGS!$F$25,"0"))</f>
        <v>0</v>
      </c>
      <c r="AD7" s="9"/>
      <c r="AE7" s="11">
        <f t="shared" si="2"/>
        <v>50</v>
      </c>
      <c r="AF7" s="12">
        <f>AE7*(0.01*IF(D7="lab",SETTINGS!$F$26,SETTINGS!$F$32))</f>
        <v>0</v>
      </c>
      <c r="AG7" s="13">
        <f t="shared" ref="AG7:AG38" si="3">IF(U7&lt;=40,"DRP",AF7+AC7+X7+V7+T7+L7)</f>
        <v>0</v>
      </c>
      <c r="AI7" s="9"/>
      <c r="AJ7" s="9"/>
      <c r="AK7" s="9"/>
      <c r="AL7" s="9"/>
      <c r="AM7" s="9"/>
      <c r="AN7" s="11">
        <f>SUM(AI7:AM7)</f>
        <v>0</v>
      </c>
      <c r="AO7" s="11">
        <f t="shared" ref="AO7:AO70" si="4">AN7/$AN$6*50+50</f>
        <v>50</v>
      </c>
      <c r="AP7" s="12">
        <f>AO7*(0.01*IF(D7="lab",SETTINGS!$F$22,SETTINGS!$F$29))</f>
        <v>0</v>
      </c>
      <c r="AQ7" s="9"/>
      <c r="AR7" s="9"/>
      <c r="AS7" s="9"/>
      <c r="AT7" s="9"/>
      <c r="AU7" s="9"/>
      <c r="AV7" s="11">
        <f>SUM(AQ7:AU7)</f>
        <v>0</v>
      </c>
      <c r="AW7" s="11">
        <f t="shared" ref="AW7:AW70" si="5">AV7/$AV$6*50+50</f>
        <v>50</v>
      </c>
      <c r="AX7" s="12">
        <f>AW7*(0.01*IF(D7="lab",SETTINGS!$F$23,SETTINGS!$F$30))</f>
        <v>0</v>
      </c>
      <c r="AY7" s="9">
        <f>ATT!AJ6</f>
        <v>90</v>
      </c>
      <c r="AZ7" s="12">
        <f>AY7*(0.01*IF(D7="lab",SETTINGS!$F$21,SETTINGS!$F$28))</f>
        <v>0</v>
      </c>
      <c r="BA7" s="9">
        <v>100</v>
      </c>
      <c r="BB7" s="12">
        <f>BA7*(0.01*IF(D7="lab",SETTINGS!$F$24,SETTINGS!$F$31))</f>
        <v>0</v>
      </c>
      <c r="BC7" s="71"/>
      <c r="BD7" s="8">
        <f t="shared" ref="BD7:BD70" si="6">BC7/$BC$6*50+50</f>
        <v>50</v>
      </c>
      <c r="BE7" s="12">
        <f>BD7*(0.01*IF(D7="lab",SETTINGS!$F$25,"0"))</f>
        <v>0</v>
      </c>
      <c r="BF7" s="9"/>
      <c r="BG7" s="8">
        <f t="shared" ref="BG7:BG70" si="7">BF7/$BF$6*50+50</f>
        <v>50</v>
      </c>
      <c r="BH7" s="12">
        <f>BG7*(0.01*IF(D7="lab",SETTINGS!$F$26,SETTINGS!$F$32))</f>
        <v>0</v>
      </c>
      <c r="BI7" s="13">
        <f>IF(AG7="DRP","DRP",IF(AY7&lt;=40,"FA",BH7+BE7+BB7+AZ7+AX7+AP7))</f>
        <v>0</v>
      </c>
      <c r="BJ7" s="59"/>
    </row>
    <row r="8" spans="2:62" x14ac:dyDescent="0.25">
      <c r="B8" s="6">
        <v>2</v>
      </c>
      <c r="C8" s="76">
        <f>SETTINGS!C11</f>
        <v>0</v>
      </c>
      <c r="D8" s="81" t="s">
        <v>81</v>
      </c>
      <c r="E8" s="9"/>
      <c r="F8" s="5"/>
      <c r="G8" s="5"/>
      <c r="H8" s="5"/>
      <c r="I8" s="5"/>
      <c r="J8" s="8">
        <f>SUM(E8:I8)</f>
        <v>0</v>
      </c>
      <c r="K8" s="8">
        <f t="shared" ref="K8:K66" si="8">J8/$J$6*50+50</f>
        <v>50</v>
      </c>
      <c r="L8" s="12">
        <f>K8*(0.01*IF(D8="lab",SETTINGS!$F$22,SETTINGS!$F$29))</f>
        <v>0</v>
      </c>
      <c r="M8" s="9"/>
      <c r="N8" s="9"/>
      <c r="O8" s="9"/>
      <c r="P8" s="5"/>
      <c r="Q8" s="5"/>
      <c r="R8" s="8">
        <f>SUM(M8:Q8)</f>
        <v>0</v>
      </c>
      <c r="S8" s="11">
        <f t="shared" si="0"/>
        <v>50</v>
      </c>
      <c r="T8" s="12">
        <f>S8*(0.01*IF(D8="lab",SETTINGS!$F$23,SETTINGS!$F$30))</f>
        <v>0</v>
      </c>
      <c r="U8" s="9">
        <f>ATT!S7</f>
        <v>100</v>
      </c>
      <c r="V8" s="12">
        <f>U8*(0.01*IF(D8="lab",SETTINGS!$F$21,SETTINGS!$F$28))</f>
        <v>0</v>
      </c>
      <c r="W8" s="9">
        <v>100</v>
      </c>
      <c r="X8" s="12">
        <f>W8*(0.01*IF(D8="lab",SETTINGS!$F$24,SETTINGS!$F$31))</f>
        <v>0</v>
      </c>
      <c r="Y8" s="71">
        <v>0</v>
      </c>
      <c r="Z8" s="12" t="e">
        <f>Y8*(0.01*IF(#REF!="ONLINE", SETTINGS!$F$26, IF('MID-FINAL'!#REF!="BLENDED",SETTINGS!$F$34, IF('MID-FINAL'!#REF!="MODULAR",SETTINGS!$F$42))))</f>
        <v>#REF!</v>
      </c>
      <c r="AA8" s="82"/>
      <c r="AB8" s="83">
        <f t="shared" si="1"/>
        <v>50</v>
      </c>
      <c r="AC8" s="12">
        <f>AB8*(0.01*IF(D8="lab",SETTINGS!$F$25,"0"))</f>
        <v>0</v>
      </c>
      <c r="AD8" s="9"/>
      <c r="AE8" s="8">
        <f t="shared" si="2"/>
        <v>50</v>
      </c>
      <c r="AF8" s="12">
        <f>AE8*(0.01*IF(D8="lab",SETTINGS!$F$26,SETTINGS!$F$32))</f>
        <v>0</v>
      </c>
      <c r="AG8" s="13">
        <f t="shared" si="3"/>
        <v>0</v>
      </c>
      <c r="AI8" s="9"/>
      <c r="AJ8" s="5"/>
      <c r="AK8" s="5"/>
      <c r="AL8" s="5"/>
      <c r="AM8" s="5"/>
      <c r="AN8" s="8">
        <f>SUM(AI8:AM8)</f>
        <v>0</v>
      </c>
      <c r="AO8" s="8">
        <f t="shared" si="4"/>
        <v>50</v>
      </c>
      <c r="AP8" s="12">
        <f>AO8*(0.01*IF(D8="lab",SETTINGS!$F$22,SETTINGS!$F$29))</f>
        <v>0</v>
      </c>
      <c r="AQ8" s="9"/>
      <c r="AR8" s="9"/>
      <c r="AS8" s="5"/>
      <c r="AT8" s="5"/>
      <c r="AU8" s="5"/>
      <c r="AV8" s="8">
        <f>SUM(AQ8:AU8)</f>
        <v>0</v>
      </c>
      <c r="AW8" s="8">
        <f t="shared" si="5"/>
        <v>50</v>
      </c>
      <c r="AX8" s="12">
        <f>AW8*(0.01*IF(D8="lab",SETTINGS!$F$23,SETTINGS!$F$30))</f>
        <v>0</v>
      </c>
      <c r="AY8" s="9">
        <f>ATT!AJ7</f>
        <v>100</v>
      </c>
      <c r="AZ8" s="12">
        <f>AY8*(0.01*IF(D8="lab",SETTINGS!$F$21,SETTINGS!$F$28))</f>
        <v>0</v>
      </c>
      <c r="BA8" s="9">
        <v>100</v>
      </c>
      <c r="BB8" s="12">
        <f>BA8*(0.01*IF(D8="lab",SETTINGS!$F$24,SETTINGS!$F$31))</f>
        <v>0</v>
      </c>
      <c r="BC8" s="71"/>
      <c r="BD8" s="8">
        <f t="shared" si="6"/>
        <v>50</v>
      </c>
      <c r="BE8" s="12">
        <f>BD8*(0.01*IF(D8="lab",SETTINGS!$F$25,"0"))</f>
        <v>0</v>
      </c>
      <c r="BF8" s="9"/>
      <c r="BG8" s="8">
        <f t="shared" si="7"/>
        <v>50</v>
      </c>
      <c r="BH8" s="12">
        <f>BG8*(0.01*IF(D8="lab",SETTINGS!$F$26,SETTINGS!$F$32))</f>
        <v>0</v>
      </c>
      <c r="BI8" s="13">
        <f t="shared" ref="BI8:BI71" si="9">IF(AG8="DRP","DRP",IF(AY8&lt;=40,"FA",BH8+BE8+BB8+AZ8+AX8+AP8))</f>
        <v>0</v>
      </c>
      <c r="BJ8" s="60"/>
    </row>
    <row r="9" spans="2:62" x14ac:dyDescent="0.25">
      <c r="B9" s="6">
        <v>3</v>
      </c>
      <c r="C9" s="76">
        <f>SETTINGS!C12</f>
        <v>0</v>
      </c>
      <c r="D9" s="81" t="s">
        <v>81</v>
      </c>
      <c r="E9" s="9"/>
      <c r="F9" s="5"/>
      <c r="G9" s="5"/>
      <c r="H9" s="5"/>
      <c r="I9" s="5"/>
      <c r="J9" s="8">
        <f t="shared" ref="J9:J66" si="10">SUM(E9:I9)</f>
        <v>0</v>
      </c>
      <c r="K9" s="8">
        <f t="shared" si="8"/>
        <v>50</v>
      </c>
      <c r="L9" s="12">
        <f>K9*(0.01*IF(D9="lab",SETTINGS!$F$22,SETTINGS!$F$29))</f>
        <v>0</v>
      </c>
      <c r="M9" s="9"/>
      <c r="N9" s="9"/>
      <c r="O9" s="9"/>
      <c r="P9" s="5"/>
      <c r="Q9" s="5"/>
      <c r="R9" s="8">
        <f t="shared" ref="R9:R66" si="11">SUM(M9:Q9)</f>
        <v>0</v>
      </c>
      <c r="S9" s="11">
        <f t="shared" si="0"/>
        <v>50</v>
      </c>
      <c r="T9" s="12">
        <f>S9*(0.01*IF(D9="lab",SETTINGS!$F$23,SETTINGS!$F$30))</f>
        <v>0</v>
      </c>
      <c r="U9" s="9">
        <f>ATT!S8</f>
        <v>100</v>
      </c>
      <c r="V9" s="12">
        <f>U9*(0.01*IF(D9="lab",SETTINGS!$F$21,SETTINGS!$F$28))</f>
        <v>0</v>
      </c>
      <c r="W9" s="9">
        <v>100</v>
      </c>
      <c r="X9" s="12">
        <f>W9*(0.01*IF(D9="lab",SETTINGS!$F$24,SETTINGS!$F$31))</f>
        <v>0</v>
      </c>
      <c r="Y9" s="71">
        <v>0</v>
      </c>
      <c r="Z9" s="12" t="e">
        <f>Y9*(0.01*IF(#REF!="ONLINE", SETTINGS!$F$26, IF('MID-FINAL'!#REF!="BLENDED",SETTINGS!$F$34, IF('MID-FINAL'!#REF!="MODULAR",SETTINGS!$F$42))))</f>
        <v>#REF!</v>
      </c>
      <c r="AA9" s="82"/>
      <c r="AB9" s="83">
        <f t="shared" si="1"/>
        <v>50</v>
      </c>
      <c r="AC9" s="12">
        <f>AB9*(0.01*IF(D9="lab",SETTINGS!$F$25,"0"))</f>
        <v>0</v>
      </c>
      <c r="AD9" s="9"/>
      <c r="AE9" s="8">
        <f t="shared" si="2"/>
        <v>50</v>
      </c>
      <c r="AF9" s="12">
        <f>AE9*(0.01*IF(D9="lab",SETTINGS!$F$26,SETTINGS!$F$32))</f>
        <v>0</v>
      </c>
      <c r="AG9" s="13">
        <f t="shared" si="3"/>
        <v>0</v>
      </c>
      <c r="AI9" s="9"/>
      <c r="AJ9" s="5"/>
      <c r="AK9" s="5"/>
      <c r="AL9" s="5"/>
      <c r="AM9" s="5"/>
      <c r="AN9" s="8">
        <f t="shared" ref="AN9:AN66" si="12">SUM(AI9:AM9)</f>
        <v>0</v>
      </c>
      <c r="AO9" s="8">
        <f t="shared" si="4"/>
        <v>50</v>
      </c>
      <c r="AP9" s="12">
        <f>AO9*(0.01*IF(D9="lab",SETTINGS!$F$22,SETTINGS!$F$29))</f>
        <v>0</v>
      </c>
      <c r="AQ9" s="9"/>
      <c r="AR9" s="9"/>
      <c r="AS9" s="5"/>
      <c r="AT9" s="5"/>
      <c r="AU9" s="5"/>
      <c r="AV9" s="8">
        <f t="shared" ref="AV9:AV66" si="13">SUM(AQ9:AU9)</f>
        <v>0</v>
      </c>
      <c r="AW9" s="8">
        <f t="shared" si="5"/>
        <v>50</v>
      </c>
      <c r="AX9" s="12">
        <f>AW9*(0.01*IF(D9="lab",SETTINGS!$F$23,SETTINGS!$F$30))</f>
        <v>0</v>
      </c>
      <c r="AY9" s="9">
        <f>ATT!AJ8</f>
        <v>100</v>
      </c>
      <c r="AZ9" s="12">
        <f>AY9*(0.01*IF(D9="lab",SETTINGS!$F$21,SETTINGS!$F$28))</f>
        <v>0</v>
      </c>
      <c r="BA9" s="9">
        <v>100</v>
      </c>
      <c r="BB9" s="12">
        <f>BA9*(0.01*IF(D9="lab",SETTINGS!$F$24,SETTINGS!$F$31))</f>
        <v>0</v>
      </c>
      <c r="BC9" s="71"/>
      <c r="BD9" s="8">
        <f t="shared" si="6"/>
        <v>50</v>
      </c>
      <c r="BE9" s="12">
        <f>BD9*(0.01*IF(D9="lab",SETTINGS!$F$25,"0"))</f>
        <v>0</v>
      </c>
      <c r="BF9" s="9"/>
      <c r="BG9" s="8">
        <f t="shared" si="7"/>
        <v>50</v>
      </c>
      <c r="BH9" s="12">
        <f>BG9*(0.01*IF(D9="lab",SETTINGS!$F$26,SETTINGS!$F$32))</f>
        <v>0</v>
      </c>
      <c r="BI9" s="13">
        <f t="shared" si="9"/>
        <v>0</v>
      </c>
      <c r="BJ9" s="60"/>
    </row>
    <row r="10" spans="2:62" x14ac:dyDescent="0.25">
      <c r="B10" s="6">
        <v>4</v>
      </c>
      <c r="C10" s="76">
        <f>SETTINGS!C13</f>
        <v>0</v>
      </c>
      <c r="D10" s="81" t="s">
        <v>81</v>
      </c>
      <c r="E10" s="9"/>
      <c r="F10" s="5"/>
      <c r="G10" s="5"/>
      <c r="H10" s="5"/>
      <c r="I10" s="5"/>
      <c r="J10" s="8">
        <f t="shared" si="10"/>
        <v>0</v>
      </c>
      <c r="K10" s="8">
        <f t="shared" si="8"/>
        <v>50</v>
      </c>
      <c r="L10" s="12">
        <f>K10*(0.01*IF(D10="lab",SETTINGS!$F$22,SETTINGS!$F$29))</f>
        <v>0</v>
      </c>
      <c r="M10" s="9"/>
      <c r="N10" s="9"/>
      <c r="O10" s="9"/>
      <c r="P10" s="5"/>
      <c r="Q10" s="5"/>
      <c r="R10" s="8">
        <f t="shared" si="11"/>
        <v>0</v>
      </c>
      <c r="S10" s="11">
        <f t="shared" si="0"/>
        <v>50</v>
      </c>
      <c r="T10" s="12">
        <f>S10*(0.01*IF(D10="lab",SETTINGS!$F$23,SETTINGS!$F$30))</f>
        <v>0</v>
      </c>
      <c r="U10" s="9">
        <f>ATT!S9</f>
        <v>100</v>
      </c>
      <c r="V10" s="12">
        <f>U10*(0.01*IF(D10="lab",SETTINGS!$F$21,SETTINGS!$F$28))</f>
        <v>0</v>
      </c>
      <c r="W10" s="9">
        <v>100</v>
      </c>
      <c r="X10" s="12">
        <f>W10*(0.01*IF(D10="lab",SETTINGS!$F$24,SETTINGS!$F$31))</f>
        <v>0</v>
      </c>
      <c r="Y10" s="71">
        <v>0</v>
      </c>
      <c r="Z10" s="12" t="e">
        <f>Y10*(0.01*IF(#REF!="ONLINE", SETTINGS!$F$26, IF('MID-FINAL'!#REF!="BLENDED",SETTINGS!$F$34, IF('MID-FINAL'!#REF!="MODULAR",SETTINGS!$F$42))))</f>
        <v>#REF!</v>
      </c>
      <c r="AA10" s="82"/>
      <c r="AB10" s="83">
        <f t="shared" si="1"/>
        <v>50</v>
      </c>
      <c r="AC10" s="12">
        <f>AB10*(0.01*IF(D10="lab",SETTINGS!$F$25,"0"))</f>
        <v>0</v>
      </c>
      <c r="AD10" s="9"/>
      <c r="AE10" s="8">
        <f t="shared" si="2"/>
        <v>50</v>
      </c>
      <c r="AF10" s="12">
        <f>AE10*(0.01*IF(D10="lab",SETTINGS!$F$26,SETTINGS!$F$32))</f>
        <v>0</v>
      </c>
      <c r="AG10" s="13">
        <f t="shared" si="3"/>
        <v>0</v>
      </c>
      <c r="AI10" s="9"/>
      <c r="AJ10" s="5"/>
      <c r="AK10" s="5"/>
      <c r="AL10" s="5"/>
      <c r="AM10" s="5"/>
      <c r="AN10" s="8">
        <f t="shared" si="12"/>
        <v>0</v>
      </c>
      <c r="AO10" s="8">
        <f t="shared" si="4"/>
        <v>50</v>
      </c>
      <c r="AP10" s="12">
        <f>AO10*(0.01*IF(D10="lab",SETTINGS!$F$22,SETTINGS!$F$29))</f>
        <v>0</v>
      </c>
      <c r="AQ10" s="9"/>
      <c r="AR10" s="9"/>
      <c r="AS10" s="5"/>
      <c r="AT10" s="5"/>
      <c r="AU10" s="5"/>
      <c r="AV10" s="8">
        <f t="shared" si="13"/>
        <v>0</v>
      </c>
      <c r="AW10" s="8">
        <f t="shared" si="5"/>
        <v>50</v>
      </c>
      <c r="AX10" s="12">
        <f>AW10*(0.01*IF(D10="lab",SETTINGS!$F$23,SETTINGS!$F$30))</f>
        <v>0</v>
      </c>
      <c r="AY10" s="9">
        <f>ATT!AJ9</f>
        <v>100</v>
      </c>
      <c r="AZ10" s="12">
        <f>AY10*(0.01*IF(D10="lab",SETTINGS!$F$21,SETTINGS!$F$28))</f>
        <v>0</v>
      </c>
      <c r="BA10" s="9">
        <v>100</v>
      </c>
      <c r="BB10" s="12">
        <f>BA10*(0.01*IF(D10="lab",SETTINGS!$F$24,SETTINGS!$F$31))</f>
        <v>0</v>
      </c>
      <c r="BC10" s="71"/>
      <c r="BD10" s="8">
        <f t="shared" si="6"/>
        <v>50</v>
      </c>
      <c r="BE10" s="12">
        <f>BD10*(0.01*IF(D10="lab",SETTINGS!$F$25,"0"))</f>
        <v>0</v>
      </c>
      <c r="BF10" s="9"/>
      <c r="BG10" s="8">
        <f t="shared" si="7"/>
        <v>50</v>
      </c>
      <c r="BH10" s="12">
        <f>BG10*(0.01*IF(D10="lab",SETTINGS!$F$26,SETTINGS!$F$32))</f>
        <v>0</v>
      </c>
      <c r="BI10" s="13">
        <f t="shared" si="9"/>
        <v>0</v>
      </c>
      <c r="BJ10" s="60"/>
    </row>
    <row r="11" spans="2:62" x14ac:dyDescent="0.25">
      <c r="B11" s="6">
        <v>5</v>
      </c>
      <c r="C11" s="76">
        <f>SETTINGS!C14</f>
        <v>0</v>
      </c>
      <c r="D11" s="81" t="s">
        <v>81</v>
      </c>
      <c r="E11" s="9"/>
      <c r="F11" s="5"/>
      <c r="G11" s="5"/>
      <c r="H11" s="5"/>
      <c r="I11" s="5"/>
      <c r="J11" s="8">
        <f t="shared" si="10"/>
        <v>0</v>
      </c>
      <c r="K11" s="8">
        <f t="shared" si="8"/>
        <v>50</v>
      </c>
      <c r="L11" s="12">
        <f>K11*(0.01*IF(D11="lab",SETTINGS!$F$22,SETTINGS!$F$29))</f>
        <v>0</v>
      </c>
      <c r="M11" s="9"/>
      <c r="N11" s="9"/>
      <c r="O11" s="9"/>
      <c r="P11" s="5"/>
      <c r="Q11" s="5"/>
      <c r="R11" s="8">
        <f t="shared" si="11"/>
        <v>0</v>
      </c>
      <c r="S11" s="11">
        <f t="shared" si="0"/>
        <v>50</v>
      </c>
      <c r="T11" s="12">
        <f>S11*(0.01*IF(D11="lab",SETTINGS!$F$23,SETTINGS!$F$30))</f>
        <v>0</v>
      </c>
      <c r="U11" s="9">
        <f>ATT!S10</f>
        <v>100</v>
      </c>
      <c r="V11" s="12">
        <f>U11*(0.01*IF(D11="lab",SETTINGS!$F$21,SETTINGS!$F$28))</f>
        <v>0</v>
      </c>
      <c r="W11" s="9">
        <v>100</v>
      </c>
      <c r="X11" s="12">
        <f>W11*(0.01*IF(D11="lab",SETTINGS!$F$24,SETTINGS!$F$31))</f>
        <v>0</v>
      </c>
      <c r="Y11" s="71">
        <v>0</v>
      </c>
      <c r="Z11" s="12" t="e">
        <f>Y11*(0.01*IF(#REF!="ONLINE", SETTINGS!$F$26, IF('MID-FINAL'!#REF!="BLENDED",SETTINGS!$F$34, IF('MID-FINAL'!#REF!="MODULAR",SETTINGS!$F$42))))</f>
        <v>#REF!</v>
      </c>
      <c r="AA11" s="82"/>
      <c r="AB11" s="83">
        <f t="shared" si="1"/>
        <v>50</v>
      </c>
      <c r="AC11" s="12">
        <f>AB11*(0.01*IF(D11="lab",SETTINGS!$F$25,"0"))</f>
        <v>0</v>
      </c>
      <c r="AD11" s="9"/>
      <c r="AE11" s="8">
        <f t="shared" si="2"/>
        <v>50</v>
      </c>
      <c r="AF11" s="12">
        <f>AE11*(0.01*IF(D11="lab",SETTINGS!$F$26,SETTINGS!$F$32))</f>
        <v>0</v>
      </c>
      <c r="AG11" s="13">
        <f t="shared" si="3"/>
        <v>0</v>
      </c>
      <c r="AI11" s="9"/>
      <c r="AJ11" s="5"/>
      <c r="AK11" s="5"/>
      <c r="AL11" s="5"/>
      <c r="AM11" s="5"/>
      <c r="AN11" s="8">
        <f t="shared" si="12"/>
        <v>0</v>
      </c>
      <c r="AO11" s="8">
        <f t="shared" si="4"/>
        <v>50</v>
      </c>
      <c r="AP11" s="12">
        <f>AO11*(0.01*IF(D11="lab",SETTINGS!$F$22,SETTINGS!$F$29))</f>
        <v>0</v>
      </c>
      <c r="AQ11" s="9"/>
      <c r="AR11" s="9"/>
      <c r="AS11" s="5"/>
      <c r="AT11" s="5"/>
      <c r="AU11" s="5"/>
      <c r="AV11" s="8">
        <f t="shared" si="13"/>
        <v>0</v>
      </c>
      <c r="AW11" s="8">
        <f t="shared" si="5"/>
        <v>50</v>
      </c>
      <c r="AX11" s="12">
        <f>AW11*(0.01*IF(D11="lab",SETTINGS!$F$23,SETTINGS!$F$30))</f>
        <v>0</v>
      </c>
      <c r="AY11" s="9">
        <f>ATT!AJ10</f>
        <v>100</v>
      </c>
      <c r="AZ11" s="12">
        <f>AY11*(0.01*IF(D11="lab",SETTINGS!$F$21,SETTINGS!$F$28))</f>
        <v>0</v>
      </c>
      <c r="BA11" s="9">
        <v>100</v>
      </c>
      <c r="BB11" s="12">
        <f>BA11*(0.01*IF(D11="lab",SETTINGS!$F$24,SETTINGS!$F$31))</f>
        <v>0</v>
      </c>
      <c r="BC11" s="71"/>
      <c r="BD11" s="8">
        <f t="shared" si="6"/>
        <v>50</v>
      </c>
      <c r="BE11" s="12">
        <f>BD11*(0.01*IF(D11="lab",SETTINGS!$F$25,"0"))</f>
        <v>0</v>
      </c>
      <c r="BF11" s="9"/>
      <c r="BG11" s="8">
        <f t="shared" si="7"/>
        <v>50</v>
      </c>
      <c r="BH11" s="12">
        <f>BG11*(0.01*IF(D11="lab",SETTINGS!$F$26,SETTINGS!$F$32))</f>
        <v>0</v>
      </c>
      <c r="BI11" s="13">
        <f t="shared" si="9"/>
        <v>0</v>
      </c>
      <c r="BJ11" s="60"/>
    </row>
    <row r="12" spans="2:62" x14ac:dyDescent="0.25">
      <c r="B12" s="6">
        <v>6</v>
      </c>
      <c r="C12" s="76">
        <f>SETTINGS!C15</f>
        <v>0</v>
      </c>
      <c r="D12" s="81" t="s">
        <v>81</v>
      </c>
      <c r="E12" s="9"/>
      <c r="F12" s="5"/>
      <c r="G12" s="5"/>
      <c r="H12" s="5"/>
      <c r="I12" s="5"/>
      <c r="J12" s="8">
        <f t="shared" si="10"/>
        <v>0</v>
      </c>
      <c r="K12" s="8">
        <f t="shared" si="8"/>
        <v>50</v>
      </c>
      <c r="L12" s="12">
        <f>K12*(0.01*IF(D12="lab",SETTINGS!$F$22,SETTINGS!$F$29))</f>
        <v>0</v>
      </c>
      <c r="M12" s="9"/>
      <c r="N12" s="9"/>
      <c r="O12" s="9"/>
      <c r="P12" s="5"/>
      <c r="Q12" s="5"/>
      <c r="R12" s="8">
        <f t="shared" si="11"/>
        <v>0</v>
      </c>
      <c r="S12" s="11">
        <f t="shared" si="0"/>
        <v>50</v>
      </c>
      <c r="T12" s="12">
        <f>S12*(0.01*IF(D12="lab",SETTINGS!$F$23,SETTINGS!$F$30))</f>
        <v>0</v>
      </c>
      <c r="U12" s="9">
        <f>ATT!S11</f>
        <v>100</v>
      </c>
      <c r="V12" s="12">
        <f>U12*(0.01*IF(D12="lab",SETTINGS!$F$21,SETTINGS!$F$28))</f>
        <v>0</v>
      </c>
      <c r="W12" s="9">
        <v>100</v>
      </c>
      <c r="X12" s="12">
        <f>W12*(0.01*IF(D12="lab",SETTINGS!$F$24,SETTINGS!$F$31))</f>
        <v>0</v>
      </c>
      <c r="Y12" s="71">
        <v>0</v>
      </c>
      <c r="Z12" s="12" t="e">
        <f>Y12*(0.01*IF(#REF!="ONLINE", SETTINGS!$F$26, IF('MID-FINAL'!#REF!="BLENDED",SETTINGS!$F$34, IF('MID-FINAL'!#REF!="MODULAR",SETTINGS!$F$42))))</f>
        <v>#REF!</v>
      </c>
      <c r="AA12" s="82"/>
      <c r="AB12" s="83">
        <f t="shared" si="1"/>
        <v>50</v>
      </c>
      <c r="AC12" s="12">
        <f>AB12*(0.01*IF(D12="lab",SETTINGS!$F$25,"0"))</f>
        <v>0</v>
      </c>
      <c r="AD12" s="9"/>
      <c r="AE12" s="8">
        <f t="shared" si="2"/>
        <v>50</v>
      </c>
      <c r="AF12" s="12">
        <f>AE12*(0.01*IF(D12="lab",SETTINGS!$F$26,SETTINGS!$F$32))</f>
        <v>0</v>
      </c>
      <c r="AG12" s="13">
        <f t="shared" si="3"/>
        <v>0</v>
      </c>
      <c r="AI12" s="9"/>
      <c r="AJ12" s="5"/>
      <c r="AK12" s="5"/>
      <c r="AL12" s="5"/>
      <c r="AM12" s="5"/>
      <c r="AN12" s="8">
        <f t="shared" si="12"/>
        <v>0</v>
      </c>
      <c r="AO12" s="8">
        <f t="shared" si="4"/>
        <v>50</v>
      </c>
      <c r="AP12" s="12">
        <f>AO12*(0.01*IF(D12="lab",SETTINGS!$F$22,SETTINGS!$F$29))</f>
        <v>0</v>
      </c>
      <c r="AQ12" s="9"/>
      <c r="AR12" s="9"/>
      <c r="AS12" s="5"/>
      <c r="AT12" s="5"/>
      <c r="AU12" s="5"/>
      <c r="AV12" s="8">
        <f t="shared" si="13"/>
        <v>0</v>
      </c>
      <c r="AW12" s="8">
        <f t="shared" si="5"/>
        <v>50</v>
      </c>
      <c r="AX12" s="12">
        <f>AW12*(0.01*IF(D12="lab",SETTINGS!$F$23,SETTINGS!$F$30))</f>
        <v>0</v>
      </c>
      <c r="AY12" s="9">
        <f>ATT!AJ11</f>
        <v>100</v>
      </c>
      <c r="AZ12" s="12">
        <f>AY12*(0.01*IF(D12="lab",SETTINGS!$F$21,SETTINGS!$F$28))</f>
        <v>0</v>
      </c>
      <c r="BA12" s="9">
        <v>100</v>
      </c>
      <c r="BB12" s="12">
        <f>BA12*(0.01*IF(D12="lab",SETTINGS!$F$24,SETTINGS!$F$31))</f>
        <v>0</v>
      </c>
      <c r="BC12" s="71"/>
      <c r="BD12" s="8">
        <f t="shared" si="6"/>
        <v>50</v>
      </c>
      <c r="BE12" s="12">
        <f>BD12*(0.01*IF(D12="lab",SETTINGS!$F$25,"0"))</f>
        <v>0</v>
      </c>
      <c r="BF12" s="9"/>
      <c r="BG12" s="8">
        <f t="shared" si="7"/>
        <v>50</v>
      </c>
      <c r="BH12" s="12">
        <f>BG12*(0.01*IF(D12="lab",SETTINGS!$F$26,SETTINGS!$F$32))</f>
        <v>0</v>
      </c>
      <c r="BI12" s="13">
        <f t="shared" si="9"/>
        <v>0</v>
      </c>
      <c r="BJ12" s="60"/>
    </row>
    <row r="13" spans="2:62" x14ac:dyDescent="0.25">
      <c r="B13" s="6">
        <v>7</v>
      </c>
      <c r="C13" s="76">
        <f>SETTINGS!C16</f>
        <v>0</v>
      </c>
      <c r="D13" s="81" t="s">
        <v>81</v>
      </c>
      <c r="E13" s="9"/>
      <c r="F13" s="5"/>
      <c r="G13" s="5"/>
      <c r="H13" s="5"/>
      <c r="I13" s="5"/>
      <c r="J13" s="8">
        <f t="shared" si="10"/>
        <v>0</v>
      </c>
      <c r="K13" s="8">
        <f t="shared" si="8"/>
        <v>50</v>
      </c>
      <c r="L13" s="12">
        <f>K13*(0.01*IF(D13="lab",SETTINGS!$F$22,SETTINGS!$F$29))</f>
        <v>0</v>
      </c>
      <c r="M13" s="9"/>
      <c r="N13" s="9"/>
      <c r="O13" s="9"/>
      <c r="P13" s="5"/>
      <c r="Q13" s="5"/>
      <c r="R13" s="8">
        <f t="shared" si="11"/>
        <v>0</v>
      </c>
      <c r="S13" s="11">
        <f t="shared" si="0"/>
        <v>50</v>
      </c>
      <c r="T13" s="12">
        <f>S13*(0.01*IF(D13="lab",SETTINGS!$F$23,SETTINGS!$F$30))</f>
        <v>0</v>
      </c>
      <c r="U13" s="9">
        <f>ATT!S12</f>
        <v>100</v>
      </c>
      <c r="V13" s="12">
        <f>U13*(0.01*IF(D13="lab",SETTINGS!$F$21,SETTINGS!$F$28))</f>
        <v>0</v>
      </c>
      <c r="W13" s="9">
        <v>100</v>
      </c>
      <c r="X13" s="12">
        <f>W13*(0.01*IF(D13="lab",SETTINGS!$F$24,SETTINGS!$F$31))</f>
        <v>0</v>
      </c>
      <c r="Y13" s="71">
        <v>0</v>
      </c>
      <c r="Z13" s="12" t="e">
        <f>Y13*(0.01*IF(#REF!="ONLINE", SETTINGS!$F$26, IF('MID-FINAL'!#REF!="BLENDED",SETTINGS!$F$34, IF('MID-FINAL'!#REF!="MODULAR",SETTINGS!$F$42))))</f>
        <v>#REF!</v>
      </c>
      <c r="AA13" s="82"/>
      <c r="AB13" s="83">
        <f t="shared" si="1"/>
        <v>50</v>
      </c>
      <c r="AC13" s="12">
        <f>AB13*(0.01*IF(D13="lab",SETTINGS!$F$25,"0"))</f>
        <v>0</v>
      </c>
      <c r="AD13" s="9"/>
      <c r="AE13" s="8">
        <f t="shared" si="2"/>
        <v>50</v>
      </c>
      <c r="AF13" s="12">
        <f>AE13*(0.01*IF(D13="lab",SETTINGS!$F$26,SETTINGS!$F$32))</f>
        <v>0</v>
      </c>
      <c r="AG13" s="13">
        <f t="shared" si="3"/>
        <v>0</v>
      </c>
      <c r="AI13" s="9"/>
      <c r="AJ13" s="5"/>
      <c r="AK13" s="5"/>
      <c r="AL13" s="5"/>
      <c r="AM13" s="5"/>
      <c r="AN13" s="8">
        <f t="shared" si="12"/>
        <v>0</v>
      </c>
      <c r="AO13" s="8">
        <f t="shared" si="4"/>
        <v>50</v>
      </c>
      <c r="AP13" s="12">
        <f>AO13*(0.01*IF(D13="lab",SETTINGS!$F$22,SETTINGS!$F$29))</f>
        <v>0</v>
      </c>
      <c r="AQ13" s="9"/>
      <c r="AR13" s="9"/>
      <c r="AS13" s="5"/>
      <c r="AT13" s="5"/>
      <c r="AU13" s="5"/>
      <c r="AV13" s="8">
        <f t="shared" si="13"/>
        <v>0</v>
      </c>
      <c r="AW13" s="8">
        <f t="shared" si="5"/>
        <v>50</v>
      </c>
      <c r="AX13" s="12">
        <f>AW13*(0.01*IF(D13="lab",SETTINGS!$F$23,SETTINGS!$F$30))</f>
        <v>0</v>
      </c>
      <c r="AY13" s="9">
        <f>ATT!AJ12</f>
        <v>100</v>
      </c>
      <c r="AZ13" s="12">
        <f>AY13*(0.01*IF(D13="lab",SETTINGS!$F$21,SETTINGS!$F$28))</f>
        <v>0</v>
      </c>
      <c r="BA13" s="9">
        <v>100</v>
      </c>
      <c r="BB13" s="12">
        <f>BA13*(0.01*IF(D13="lab",SETTINGS!$F$24,SETTINGS!$F$31))</f>
        <v>0</v>
      </c>
      <c r="BC13" s="71"/>
      <c r="BD13" s="8">
        <f t="shared" si="6"/>
        <v>50</v>
      </c>
      <c r="BE13" s="12">
        <f>BD13*(0.01*IF(D13="lab",SETTINGS!$F$25,"0"))</f>
        <v>0</v>
      </c>
      <c r="BF13" s="9"/>
      <c r="BG13" s="8">
        <f t="shared" si="7"/>
        <v>50</v>
      </c>
      <c r="BH13" s="12">
        <f>BG13*(0.01*IF(D13="lab",SETTINGS!$F$26,SETTINGS!$F$32))</f>
        <v>0</v>
      </c>
      <c r="BI13" s="13">
        <f t="shared" si="9"/>
        <v>0</v>
      </c>
      <c r="BJ13" s="60"/>
    </row>
    <row r="14" spans="2:62" x14ac:dyDescent="0.25">
      <c r="B14" s="6">
        <v>8</v>
      </c>
      <c r="C14" s="76">
        <f>SETTINGS!C17</f>
        <v>0</v>
      </c>
      <c r="D14" s="81" t="s">
        <v>81</v>
      </c>
      <c r="E14" s="9"/>
      <c r="F14" s="5"/>
      <c r="G14" s="5"/>
      <c r="H14" s="5"/>
      <c r="I14" s="5"/>
      <c r="J14" s="8">
        <f t="shared" si="10"/>
        <v>0</v>
      </c>
      <c r="K14" s="8">
        <f t="shared" si="8"/>
        <v>50</v>
      </c>
      <c r="L14" s="12">
        <f>K14*(0.01*IF(D14="lab",SETTINGS!$F$22,SETTINGS!$F$29))</f>
        <v>0</v>
      </c>
      <c r="M14" s="9"/>
      <c r="N14" s="9"/>
      <c r="O14" s="9"/>
      <c r="P14" s="5"/>
      <c r="Q14" s="5"/>
      <c r="R14" s="8">
        <f t="shared" si="11"/>
        <v>0</v>
      </c>
      <c r="S14" s="11">
        <f t="shared" si="0"/>
        <v>50</v>
      </c>
      <c r="T14" s="12">
        <f>S14*(0.01*IF(D14="lab",SETTINGS!$F$23,SETTINGS!$F$30))</f>
        <v>0</v>
      </c>
      <c r="U14" s="9">
        <f>ATT!S13</f>
        <v>100</v>
      </c>
      <c r="V14" s="12">
        <f>U14*(0.01*IF(D14="lab",SETTINGS!$F$21,SETTINGS!$F$28))</f>
        <v>0</v>
      </c>
      <c r="W14" s="9">
        <v>100</v>
      </c>
      <c r="X14" s="12">
        <f>W14*(0.01*IF(D14="lab",SETTINGS!$F$24,SETTINGS!$F$31))</f>
        <v>0</v>
      </c>
      <c r="Y14" s="71">
        <v>0</v>
      </c>
      <c r="Z14" s="12" t="e">
        <f>Y14*(0.01*IF(#REF!="ONLINE", SETTINGS!$F$26, IF('MID-FINAL'!#REF!="BLENDED",SETTINGS!$F$34, IF('MID-FINAL'!#REF!="MODULAR",SETTINGS!$F$42))))</f>
        <v>#REF!</v>
      </c>
      <c r="AA14" s="82"/>
      <c r="AB14" s="83">
        <f t="shared" si="1"/>
        <v>50</v>
      </c>
      <c r="AC14" s="12">
        <f>AB14*(0.01*IF(D14="lab",SETTINGS!$F$25,"0"))</f>
        <v>0</v>
      </c>
      <c r="AD14" s="9"/>
      <c r="AE14" s="8">
        <f t="shared" si="2"/>
        <v>50</v>
      </c>
      <c r="AF14" s="12">
        <f>AE14*(0.01*IF(D14="lab",SETTINGS!$F$26,SETTINGS!$F$32))</f>
        <v>0</v>
      </c>
      <c r="AG14" s="13">
        <f t="shared" si="3"/>
        <v>0</v>
      </c>
      <c r="AI14" s="9"/>
      <c r="AJ14" s="5"/>
      <c r="AK14" s="5"/>
      <c r="AL14" s="5"/>
      <c r="AM14" s="5"/>
      <c r="AN14" s="8">
        <f t="shared" si="12"/>
        <v>0</v>
      </c>
      <c r="AO14" s="8">
        <f t="shared" si="4"/>
        <v>50</v>
      </c>
      <c r="AP14" s="12">
        <f>AO14*(0.01*IF(D14="lab",SETTINGS!$F$22,SETTINGS!$F$29))</f>
        <v>0</v>
      </c>
      <c r="AQ14" s="9"/>
      <c r="AR14" s="9"/>
      <c r="AS14" s="5"/>
      <c r="AT14" s="5"/>
      <c r="AU14" s="5"/>
      <c r="AV14" s="8">
        <f t="shared" si="13"/>
        <v>0</v>
      </c>
      <c r="AW14" s="8">
        <f t="shared" si="5"/>
        <v>50</v>
      </c>
      <c r="AX14" s="12">
        <f>AW14*(0.01*IF(D14="lab",SETTINGS!$F$23,SETTINGS!$F$30))</f>
        <v>0</v>
      </c>
      <c r="AY14" s="9">
        <f>ATT!AJ13</f>
        <v>100</v>
      </c>
      <c r="AZ14" s="12">
        <f>AY14*(0.01*IF(D14="lab",SETTINGS!$F$21,SETTINGS!$F$28))</f>
        <v>0</v>
      </c>
      <c r="BA14" s="9">
        <v>100</v>
      </c>
      <c r="BB14" s="12">
        <f>BA14*(0.01*IF(D14="lab",SETTINGS!$F$24,SETTINGS!$F$31))</f>
        <v>0</v>
      </c>
      <c r="BC14" s="71"/>
      <c r="BD14" s="8">
        <f t="shared" si="6"/>
        <v>50</v>
      </c>
      <c r="BE14" s="12">
        <f>BD14*(0.01*IF(D14="lab",SETTINGS!$F$25,"0"))</f>
        <v>0</v>
      </c>
      <c r="BF14" s="9"/>
      <c r="BG14" s="8">
        <f t="shared" si="7"/>
        <v>50</v>
      </c>
      <c r="BH14" s="12">
        <f>BG14*(0.01*IF(D14="lab",SETTINGS!$F$26,SETTINGS!$F$32))</f>
        <v>0</v>
      </c>
      <c r="BI14" s="13">
        <f t="shared" si="9"/>
        <v>0</v>
      </c>
      <c r="BJ14" s="60"/>
    </row>
    <row r="15" spans="2:62" x14ac:dyDescent="0.25">
      <c r="B15" s="6">
        <v>9</v>
      </c>
      <c r="C15" s="76">
        <f>SETTINGS!C18</f>
        <v>0</v>
      </c>
      <c r="D15" s="81" t="s">
        <v>81</v>
      </c>
      <c r="E15" s="9"/>
      <c r="F15" s="5"/>
      <c r="G15" s="5"/>
      <c r="H15" s="5"/>
      <c r="I15" s="5"/>
      <c r="J15" s="8">
        <f t="shared" si="10"/>
        <v>0</v>
      </c>
      <c r="K15" s="8">
        <f t="shared" si="8"/>
        <v>50</v>
      </c>
      <c r="L15" s="12">
        <f>K15*(0.01*IF(D15="lab",SETTINGS!$F$22,SETTINGS!$F$29))</f>
        <v>0</v>
      </c>
      <c r="M15" s="9"/>
      <c r="N15" s="9"/>
      <c r="O15" s="9"/>
      <c r="P15" s="5"/>
      <c r="Q15" s="5"/>
      <c r="R15" s="8">
        <f t="shared" si="11"/>
        <v>0</v>
      </c>
      <c r="S15" s="11">
        <f t="shared" si="0"/>
        <v>50</v>
      </c>
      <c r="T15" s="12">
        <f>S15*(0.01*IF(D15="lab",SETTINGS!$F$23,SETTINGS!$F$30))</f>
        <v>0</v>
      </c>
      <c r="U15" s="9">
        <f>ATT!S14</f>
        <v>100</v>
      </c>
      <c r="V15" s="12">
        <f>U15*(0.01*IF(D15="lab",SETTINGS!$F$21,SETTINGS!$F$28))</f>
        <v>0</v>
      </c>
      <c r="W15" s="9">
        <v>100</v>
      </c>
      <c r="X15" s="12">
        <f>W15*(0.01*IF(D15="lab",SETTINGS!$F$24,SETTINGS!$F$31))</f>
        <v>0</v>
      </c>
      <c r="Y15" s="71">
        <v>0</v>
      </c>
      <c r="Z15" s="12" t="e">
        <f>Y15*(0.01*IF(#REF!="ONLINE", SETTINGS!$F$26, IF('MID-FINAL'!#REF!="BLENDED",SETTINGS!$F$34, IF('MID-FINAL'!#REF!="MODULAR",SETTINGS!$F$42))))</f>
        <v>#REF!</v>
      </c>
      <c r="AA15" s="82"/>
      <c r="AB15" s="83">
        <f t="shared" si="1"/>
        <v>50</v>
      </c>
      <c r="AC15" s="12">
        <f>AB15*(0.01*IF(D15="lab",SETTINGS!$F$25,"0"))</f>
        <v>0</v>
      </c>
      <c r="AD15" s="9"/>
      <c r="AE15" s="8">
        <f t="shared" si="2"/>
        <v>50</v>
      </c>
      <c r="AF15" s="12">
        <f>AE15*(0.01*IF(D15="lab",SETTINGS!$F$26,SETTINGS!$F$32))</f>
        <v>0</v>
      </c>
      <c r="AG15" s="13">
        <f t="shared" si="3"/>
        <v>0</v>
      </c>
      <c r="AI15" s="9"/>
      <c r="AJ15" s="5"/>
      <c r="AK15" s="5"/>
      <c r="AL15" s="5"/>
      <c r="AM15" s="5"/>
      <c r="AN15" s="8">
        <f t="shared" si="12"/>
        <v>0</v>
      </c>
      <c r="AO15" s="8">
        <f t="shared" si="4"/>
        <v>50</v>
      </c>
      <c r="AP15" s="12">
        <f>AO15*(0.01*IF(D15="lab",SETTINGS!$F$22,SETTINGS!$F$29))</f>
        <v>0</v>
      </c>
      <c r="AQ15" s="9"/>
      <c r="AR15" s="9"/>
      <c r="AS15" s="5"/>
      <c r="AT15" s="5"/>
      <c r="AU15" s="5"/>
      <c r="AV15" s="8">
        <f t="shared" si="13"/>
        <v>0</v>
      </c>
      <c r="AW15" s="8">
        <f t="shared" si="5"/>
        <v>50</v>
      </c>
      <c r="AX15" s="12">
        <f>AW15*(0.01*IF(D15="lab",SETTINGS!$F$23,SETTINGS!$F$30))</f>
        <v>0</v>
      </c>
      <c r="AY15" s="9">
        <f>ATT!AJ14</f>
        <v>100</v>
      </c>
      <c r="AZ15" s="12">
        <f>AY15*(0.01*IF(D15="lab",SETTINGS!$F$21,SETTINGS!$F$28))</f>
        <v>0</v>
      </c>
      <c r="BA15" s="9">
        <v>100</v>
      </c>
      <c r="BB15" s="12">
        <f>BA15*(0.01*IF(D15="lab",SETTINGS!$F$24,SETTINGS!$F$31))</f>
        <v>0</v>
      </c>
      <c r="BC15" s="71"/>
      <c r="BD15" s="8">
        <f t="shared" si="6"/>
        <v>50</v>
      </c>
      <c r="BE15" s="12">
        <f>BD15*(0.01*IF(D15="lab",SETTINGS!$F$25,"0"))</f>
        <v>0</v>
      </c>
      <c r="BF15" s="9"/>
      <c r="BG15" s="8">
        <f t="shared" si="7"/>
        <v>50</v>
      </c>
      <c r="BH15" s="12">
        <f>BG15*(0.01*IF(D15="lab",SETTINGS!$F$26,SETTINGS!$F$32))</f>
        <v>0</v>
      </c>
      <c r="BI15" s="13">
        <f t="shared" si="9"/>
        <v>0</v>
      </c>
      <c r="BJ15" s="60"/>
    </row>
    <row r="16" spans="2:62" x14ac:dyDescent="0.25">
      <c r="B16" s="6">
        <v>10</v>
      </c>
      <c r="C16" s="76">
        <f>SETTINGS!C19</f>
        <v>0</v>
      </c>
      <c r="D16" s="81" t="s">
        <v>81</v>
      </c>
      <c r="E16" s="9"/>
      <c r="F16" s="5"/>
      <c r="G16" s="5"/>
      <c r="H16" s="5"/>
      <c r="I16" s="5"/>
      <c r="J16" s="8">
        <f t="shared" si="10"/>
        <v>0</v>
      </c>
      <c r="K16" s="8">
        <f t="shared" si="8"/>
        <v>50</v>
      </c>
      <c r="L16" s="12">
        <f>K16*(0.01*IF(D16="lab",SETTINGS!$F$22,SETTINGS!$F$29))</f>
        <v>0</v>
      </c>
      <c r="M16" s="9"/>
      <c r="N16" s="9"/>
      <c r="O16" s="9"/>
      <c r="P16" s="5"/>
      <c r="Q16" s="5"/>
      <c r="R16" s="8">
        <f t="shared" si="11"/>
        <v>0</v>
      </c>
      <c r="S16" s="11">
        <f t="shared" si="0"/>
        <v>50</v>
      </c>
      <c r="T16" s="12">
        <f>S16*(0.01*IF(D16="lab",SETTINGS!$F$23,SETTINGS!$F$30))</f>
        <v>0</v>
      </c>
      <c r="U16" s="9">
        <f>ATT!S15</f>
        <v>100</v>
      </c>
      <c r="V16" s="12">
        <f>U16*(0.01*IF(D16="lab",SETTINGS!$F$21,SETTINGS!$F$28))</f>
        <v>0</v>
      </c>
      <c r="W16" s="9">
        <v>100</v>
      </c>
      <c r="X16" s="12">
        <f>W16*(0.01*IF(D16="lab",SETTINGS!$F$24,SETTINGS!$F$31))</f>
        <v>0</v>
      </c>
      <c r="Y16" s="71">
        <v>0</v>
      </c>
      <c r="Z16" s="12" t="e">
        <f>Y16*(0.01*IF(#REF!="ONLINE", SETTINGS!$F$26, IF('MID-FINAL'!#REF!="BLENDED",SETTINGS!$F$34, IF('MID-FINAL'!#REF!="MODULAR",SETTINGS!$F$42))))</f>
        <v>#REF!</v>
      </c>
      <c r="AA16" s="82"/>
      <c r="AB16" s="83">
        <f t="shared" si="1"/>
        <v>50</v>
      </c>
      <c r="AC16" s="12">
        <f>AB16*(0.01*IF(D16="lab",SETTINGS!$F$25,"0"))</f>
        <v>0</v>
      </c>
      <c r="AD16" s="9"/>
      <c r="AE16" s="8">
        <f t="shared" si="2"/>
        <v>50</v>
      </c>
      <c r="AF16" s="12">
        <f>AE16*(0.01*IF(D16="lab",SETTINGS!$F$26,SETTINGS!$F$32))</f>
        <v>0</v>
      </c>
      <c r="AG16" s="13">
        <f t="shared" si="3"/>
        <v>0</v>
      </c>
      <c r="AI16" s="9"/>
      <c r="AJ16" s="5"/>
      <c r="AK16" s="5"/>
      <c r="AL16" s="5"/>
      <c r="AM16" s="5"/>
      <c r="AN16" s="8">
        <f t="shared" si="12"/>
        <v>0</v>
      </c>
      <c r="AO16" s="8">
        <f t="shared" si="4"/>
        <v>50</v>
      </c>
      <c r="AP16" s="12">
        <f>AO16*(0.01*IF(D16="lab",SETTINGS!$F$22,SETTINGS!$F$29))</f>
        <v>0</v>
      </c>
      <c r="AQ16" s="9"/>
      <c r="AR16" s="9"/>
      <c r="AS16" s="5"/>
      <c r="AT16" s="5"/>
      <c r="AU16" s="5"/>
      <c r="AV16" s="8">
        <f t="shared" si="13"/>
        <v>0</v>
      </c>
      <c r="AW16" s="8">
        <f t="shared" si="5"/>
        <v>50</v>
      </c>
      <c r="AX16" s="12">
        <f>AW16*(0.01*IF(D16="lab",SETTINGS!$F$23,SETTINGS!$F$30))</f>
        <v>0</v>
      </c>
      <c r="AY16" s="9">
        <f>ATT!AJ15</f>
        <v>100</v>
      </c>
      <c r="AZ16" s="12">
        <f>AY16*(0.01*IF(D16="lab",SETTINGS!$F$21,SETTINGS!$F$28))</f>
        <v>0</v>
      </c>
      <c r="BA16" s="9">
        <v>100</v>
      </c>
      <c r="BB16" s="12">
        <f>BA16*(0.01*IF(D16="lab",SETTINGS!$F$24,SETTINGS!$F$31))</f>
        <v>0</v>
      </c>
      <c r="BC16" s="71"/>
      <c r="BD16" s="8">
        <f t="shared" si="6"/>
        <v>50</v>
      </c>
      <c r="BE16" s="12">
        <f>BD16*(0.01*IF(D16="lab",SETTINGS!$F$25,"0"))</f>
        <v>0</v>
      </c>
      <c r="BF16" s="9"/>
      <c r="BG16" s="8">
        <f t="shared" si="7"/>
        <v>50</v>
      </c>
      <c r="BH16" s="12">
        <f>BG16*(0.01*IF(D16="lab",SETTINGS!$F$26,SETTINGS!$F$32))</f>
        <v>0</v>
      </c>
      <c r="BI16" s="13">
        <f t="shared" si="9"/>
        <v>0</v>
      </c>
      <c r="BJ16" s="60"/>
    </row>
    <row r="17" spans="2:62" x14ac:dyDescent="0.25">
      <c r="B17" s="6">
        <v>11</v>
      </c>
      <c r="C17" s="76">
        <f>SETTINGS!C20</f>
        <v>0</v>
      </c>
      <c r="D17" s="81" t="s">
        <v>81</v>
      </c>
      <c r="E17" s="9"/>
      <c r="F17" s="5"/>
      <c r="G17" s="5"/>
      <c r="H17" s="5"/>
      <c r="I17" s="5"/>
      <c r="J17" s="8">
        <f t="shared" si="10"/>
        <v>0</v>
      </c>
      <c r="K17" s="8">
        <f t="shared" si="8"/>
        <v>50</v>
      </c>
      <c r="L17" s="12">
        <f>K17*(0.01*IF(D17="lab",SETTINGS!$F$22,SETTINGS!$F$29))</f>
        <v>0</v>
      </c>
      <c r="M17" s="9"/>
      <c r="N17" s="9"/>
      <c r="O17" s="9"/>
      <c r="P17" s="5"/>
      <c r="Q17" s="5"/>
      <c r="R17" s="8">
        <f t="shared" si="11"/>
        <v>0</v>
      </c>
      <c r="S17" s="11">
        <f t="shared" si="0"/>
        <v>50</v>
      </c>
      <c r="T17" s="12">
        <f>S17*(0.01*IF(D17="lab",SETTINGS!$F$23,SETTINGS!$F$30))</f>
        <v>0</v>
      </c>
      <c r="U17" s="9">
        <f>ATT!S16</f>
        <v>100</v>
      </c>
      <c r="V17" s="12">
        <f>U17*(0.01*IF(D17="lab",SETTINGS!$F$21,SETTINGS!$F$28))</f>
        <v>0</v>
      </c>
      <c r="W17" s="9">
        <v>100</v>
      </c>
      <c r="X17" s="12">
        <f>W17*(0.01*IF(D17="lab",SETTINGS!$F$24,SETTINGS!$F$31))</f>
        <v>0</v>
      </c>
      <c r="Y17" s="71">
        <v>0</v>
      </c>
      <c r="Z17" s="12" t="e">
        <f>Y17*(0.01*IF(#REF!="ONLINE", SETTINGS!$F$26, IF('MID-FINAL'!#REF!="BLENDED",SETTINGS!$F$34, IF('MID-FINAL'!#REF!="MODULAR",SETTINGS!$F$42))))</f>
        <v>#REF!</v>
      </c>
      <c r="AA17" s="82"/>
      <c r="AB17" s="83">
        <f t="shared" si="1"/>
        <v>50</v>
      </c>
      <c r="AC17" s="12">
        <f>AB17*(0.01*IF(D17="lab",SETTINGS!$F$25,"0"))</f>
        <v>0</v>
      </c>
      <c r="AD17" s="9"/>
      <c r="AE17" s="8">
        <f t="shared" si="2"/>
        <v>50</v>
      </c>
      <c r="AF17" s="12">
        <f>AE17*(0.01*IF(D17="lab",SETTINGS!$F$26,SETTINGS!$F$32))</f>
        <v>0</v>
      </c>
      <c r="AG17" s="13">
        <f t="shared" si="3"/>
        <v>0</v>
      </c>
      <c r="AI17" s="9"/>
      <c r="AJ17" s="5"/>
      <c r="AK17" s="5"/>
      <c r="AL17" s="5"/>
      <c r="AM17" s="5"/>
      <c r="AN17" s="8">
        <f t="shared" si="12"/>
        <v>0</v>
      </c>
      <c r="AO17" s="8">
        <f t="shared" si="4"/>
        <v>50</v>
      </c>
      <c r="AP17" s="12">
        <f>AO17*(0.01*IF(D17="lab",SETTINGS!$F$22,SETTINGS!$F$29))</f>
        <v>0</v>
      </c>
      <c r="AQ17" s="9"/>
      <c r="AR17" s="9"/>
      <c r="AS17" s="5"/>
      <c r="AT17" s="5"/>
      <c r="AU17" s="5"/>
      <c r="AV17" s="8">
        <f t="shared" si="13"/>
        <v>0</v>
      </c>
      <c r="AW17" s="8">
        <f t="shared" si="5"/>
        <v>50</v>
      </c>
      <c r="AX17" s="12">
        <f>AW17*(0.01*IF(D17="lab",SETTINGS!$F$23,SETTINGS!$F$30))</f>
        <v>0</v>
      </c>
      <c r="AY17" s="9">
        <f>ATT!AJ16</f>
        <v>100</v>
      </c>
      <c r="AZ17" s="12">
        <f>AY17*(0.01*IF(D17="lab",SETTINGS!$F$21,SETTINGS!$F$28))</f>
        <v>0</v>
      </c>
      <c r="BA17" s="9">
        <v>100</v>
      </c>
      <c r="BB17" s="12">
        <f>BA17*(0.01*IF(D17="lab",SETTINGS!$F$24,SETTINGS!$F$31))</f>
        <v>0</v>
      </c>
      <c r="BC17" s="71"/>
      <c r="BD17" s="8">
        <f t="shared" si="6"/>
        <v>50</v>
      </c>
      <c r="BE17" s="12">
        <f>BD17*(0.01*IF(D17="lab",SETTINGS!$F$25,"0"))</f>
        <v>0</v>
      </c>
      <c r="BF17" s="9"/>
      <c r="BG17" s="8">
        <f t="shared" si="7"/>
        <v>50</v>
      </c>
      <c r="BH17" s="12">
        <f>BG17*(0.01*IF(D17="lab",SETTINGS!$F$26,SETTINGS!$F$32))</f>
        <v>0</v>
      </c>
      <c r="BI17" s="13">
        <f t="shared" si="9"/>
        <v>0</v>
      </c>
      <c r="BJ17" s="60"/>
    </row>
    <row r="18" spans="2:62" x14ac:dyDescent="0.25">
      <c r="B18" s="6">
        <v>12</v>
      </c>
      <c r="C18" s="76">
        <f>SETTINGS!C21</f>
        <v>0</v>
      </c>
      <c r="D18" s="81" t="s">
        <v>81</v>
      </c>
      <c r="E18" s="9"/>
      <c r="F18" s="5"/>
      <c r="G18" s="5"/>
      <c r="H18" s="5"/>
      <c r="I18" s="5"/>
      <c r="J18" s="8">
        <f t="shared" si="10"/>
        <v>0</v>
      </c>
      <c r="K18" s="8">
        <f t="shared" si="8"/>
        <v>50</v>
      </c>
      <c r="L18" s="12">
        <f>K18*(0.01*IF(D18="lab",SETTINGS!$F$22,SETTINGS!$F$29))</f>
        <v>0</v>
      </c>
      <c r="M18" s="9"/>
      <c r="N18" s="9"/>
      <c r="O18" s="9"/>
      <c r="P18" s="5"/>
      <c r="Q18" s="5"/>
      <c r="R18" s="8">
        <f t="shared" si="11"/>
        <v>0</v>
      </c>
      <c r="S18" s="11">
        <f t="shared" si="0"/>
        <v>50</v>
      </c>
      <c r="T18" s="12">
        <f>S18*(0.01*IF(D18="lab",SETTINGS!$F$23,SETTINGS!$F$30))</f>
        <v>0</v>
      </c>
      <c r="U18" s="9">
        <f>ATT!S17</f>
        <v>100</v>
      </c>
      <c r="V18" s="12">
        <f>U18*(0.01*IF(D18="lab",SETTINGS!$F$21,SETTINGS!$F$28))</f>
        <v>0</v>
      </c>
      <c r="W18" s="9">
        <v>100</v>
      </c>
      <c r="X18" s="12">
        <f>W18*(0.01*IF(D18="lab",SETTINGS!$F$24,SETTINGS!$F$31))</f>
        <v>0</v>
      </c>
      <c r="Y18" s="71">
        <v>0</v>
      </c>
      <c r="Z18" s="12" t="e">
        <f>Y18*(0.01*IF(#REF!="ONLINE", SETTINGS!$F$26, IF('MID-FINAL'!#REF!="BLENDED",SETTINGS!$F$34, IF('MID-FINAL'!#REF!="MODULAR",SETTINGS!$F$42))))</f>
        <v>#REF!</v>
      </c>
      <c r="AA18" s="82"/>
      <c r="AB18" s="83">
        <f t="shared" si="1"/>
        <v>50</v>
      </c>
      <c r="AC18" s="12">
        <f>AB18*(0.01*IF(D18="lab",SETTINGS!$F$25,"0"))</f>
        <v>0</v>
      </c>
      <c r="AD18" s="9"/>
      <c r="AE18" s="8">
        <f t="shared" si="2"/>
        <v>50</v>
      </c>
      <c r="AF18" s="12">
        <f>AE18*(0.01*IF(D18="lab",SETTINGS!$F$26,SETTINGS!$F$32))</f>
        <v>0</v>
      </c>
      <c r="AG18" s="13">
        <f t="shared" si="3"/>
        <v>0</v>
      </c>
      <c r="AI18" s="9"/>
      <c r="AJ18" s="5"/>
      <c r="AK18" s="5"/>
      <c r="AL18" s="5"/>
      <c r="AM18" s="5"/>
      <c r="AN18" s="8">
        <f t="shared" si="12"/>
        <v>0</v>
      </c>
      <c r="AO18" s="8">
        <f t="shared" si="4"/>
        <v>50</v>
      </c>
      <c r="AP18" s="12">
        <f>AO18*(0.01*IF(D18="lab",SETTINGS!$F$22,SETTINGS!$F$29))</f>
        <v>0</v>
      </c>
      <c r="AQ18" s="9"/>
      <c r="AR18" s="9"/>
      <c r="AS18" s="5"/>
      <c r="AT18" s="5"/>
      <c r="AU18" s="5"/>
      <c r="AV18" s="8">
        <f t="shared" si="13"/>
        <v>0</v>
      </c>
      <c r="AW18" s="8">
        <f t="shared" si="5"/>
        <v>50</v>
      </c>
      <c r="AX18" s="12">
        <f>AW18*(0.01*IF(D18="lab",SETTINGS!$F$23,SETTINGS!$F$30))</f>
        <v>0</v>
      </c>
      <c r="AY18" s="9">
        <f>ATT!AJ17</f>
        <v>100</v>
      </c>
      <c r="AZ18" s="12">
        <f>AY18*(0.01*IF(D18="lab",SETTINGS!$F$21,SETTINGS!$F$28))</f>
        <v>0</v>
      </c>
      <c r="BA18" s="9">
        <v>100</v>
      </c>
      <c r="BB18" s="12">
        <f>BA18*(0.01*IF(D18="lab",SETTINGS!$F$24,SETTINGS!$F$31))</f>
        <v>0</v>
      </c>
      <c r="BC18" s="71"/>
      <c r="BD18" s="8">
        <f t="shared" si="6"/>
        <v>50</v>
      </c>
      <c r="BE18" s="12">
        <f>BD18*(0.01*IF(D18="lab",SETTINGS!$F$25,"0"))</f>
        <v>0</v>
      </c>
      <c r="BF18" s="9"/>
      <c r="BG18" s="8">
        <f t="shared" si="7"/>
        <v>50</v>
      </c>
      <c r="BH18" s="12">
        <f>BG18*(0.01*IF(D18="lab",SETTINGS!$F$26,SETTINGS!$F$32))</f>
        <v>0</v>
      </c>
      <c r="BI18" s="13">
        <f t="shared" si="9"/>
        <v>0</v>
      </c>
      <c r="BJ18" s="60"/>
    </row>
    <row r="19" spans="2:62" x14ac:dyDescent="0.25">
      <c r="B19" s="6">
        <v>13</v>
      </c>
      <c r="C19" s="76">
        <f>SETTINGS!C22</f>
        <v>0</v>
      </c>
      <c r="D19" s="81" t="s">
        <v>81</v>
      </c>
      <c r="E19" s="9"/>
      <c r="F19" s="5"/>
      <c r="G19" s="5"/>
      <c r="H19" s="5"/>
      <c r="I19" s="5"/>
      <c r="J19" s="8">
        <f t="shared" si="10"/>
        <v>0</v>
      </c>
      <c r="K19" s="8">
        <f t="shared" si="8"/>
        <v>50</v>
      </c>
      <c r="L19" s="12">
        <f>K19*(0.01*IF(D19="lab",SETTINGS!$F$22,SETTINGS!$F$29))</f>
        <v>0</v>
      </c>
      <c r="M19" s="9"/>
      <c r="N19" s="9"/>
      <c r="O19" s="9"/>
      <c r="P19" s="5"/>
      <c r="Q19" s="5"/>
      <c r="R19" s="8">
        <f t="shared" si="11"/>
        <v>0</v>
      </c>
      <c r="S19" s="11">
        <f t="shared" si="0"/>
        <v>50</v>
      </c>
      <c r="T19" s="12">
        <f>S19*(0.01*IF(D19="lab",SETTINGS!$F$23,SETTINGS!$F$30))</f>
        <v>0</v>
      </c>
      <c r="U19" s="9">
        <f>ATT!S18</f>
        <v>100</v>
      </c>
      <c r="V19" s="12">
        <f>U19*(0.01*IF(D19="lab",SETTINGS!$F$21,SETTINGS!$F$28))</f>
        <v>0</v>
      </c>
      <c r="W19" s="9">
        <v>100</v>
      </c>
      <c r="X19" s="12">
        <f>W19*(0.01*IF(D19="lab",SETTINGS!$F$24,SETTINGS!$F$31))</f>
        <v>0</v>
      </c>
      <c r="Y19" s="71">
        <v>0</v>
      </c>
      <c r="Z19" s="12" t="e">
        <f>Y19*(0.01*IF(#REF!="ONLINE", SETTINGS!$F$26, IF('MID-FINAL'!#REF!="BLENDED",SETTINGS!$F$34, IF('MID-FINAL'!#REF!="MODULAR",SETTINGS!$F$42))))</f>
        <v>#REF!</v>
      </c>
      <c r="AA19" s="82"/>
      <c r="AB19" s="83">
        <f t="shared" si="1"/>
        <v>50</v>
      </c>
      <c r="AC19" s="12">
        <f>AB19*(0.01*IF(D19="lab",SETTINGS!$F$25,"0"))</f>
        <v>0</v>
      </c>
      <c r="AD19" s="9"/>
      <c r="AE19" s="8">
        <f t="shared" si="2"/>
        <v>50</v>
      </c>
      <c r="AF19" s="12">
        <f>AE19*(0.01*IF(D19="lab",SETTINGS!$F$26,SETTINGS!$F$32))</f>
        <v>0</v>
      </c>
      <c r="AG19" s="13">
        <f t="shared" si="3"/>
        <v>0</v>
      </c>
      <c r="AI19" s="9"/>
      <c r="AJ19" s="5"/>
      <c r="AK19" s="5"/>
      <c r="AL19" s="5"/>
      <c r="AM19" s="5"/>
      <c r="AN19" s="8">
        <f t="shared" si="12"/>
        <v>0</v>
      </c>
      <c r="AO19" s="8">
        <f t="shared" si="4"/>
        <v>50</v>
      </c>
      <c r="AP19" s="12">
        <f>AO19*(0.01*IF(D19="lab",SETTINGS!$F$22,SETTINGS!$F$29))</f>
        <v>0</v>
      </c>
      <c r="AQ19" s="9"/>
      <c r="AR19" s="9"/>
      <c r="AS19" s="5"/>
      <c r="AT19" s="5"/>
      <c r="AU19" s="5"/>
      <c r="AV19" s="8">
        <f t="shared" si="13"/>
        <v>0</v>
      </c>
      <c r="AW19" s="8">
        <f t="shared" si="5"/>
        <v>50</v>
      </c>
      <c r="AX19" s="12">
        <f>AW19*(0.01*IF(D19="lab",SETTINGS!$F$23,SETTINGS!$F$30))</f>
        <v>0</v>
      </c>
      <c r="AY19" s="9">
        <f>ATT!AJ18</f>
        <v>100</v>
      </c>
      <c r="AZ19" s="12">
        <f>AY19*(0.01*IF(D19="lab",SETTINGS!$F$21,SETTINGS!$F$28))</f>
        <v>0</v>
      </c>
      <c r="BA19" s="9">
        <v>100</v>
      </c>
      <c r="BB19" s="12">
        <f>BA19*(0.01*IF(D19="lab",SETTINGS!$F$24,SETTINGS!$F$31))</f>
        <v>0</v>
      </c>
      <c r="BC19" s="71"/>
      <c r="BD19" s="8">
        <f t="shared" si="6"/>
        <v>50</v>
      </c>
      <c r="BE19" s="12">
        <f>BD19*(0.01*IF(D19="lab",SETTINGS!$F$25,"0"))</f>
        <v>0</v>
      </c>
      <c r="BF19" s="9"/>
      <c r="BG19" s="8">
        <f t="shared" si="7"/>
        <v>50</v>
      </c>
      <c r="BH19" s="12">
        <f>BG19*(0.01*IF(D19="lab",SETTINGS!$F$26,SETTINGS!$F$32))</f>
        <v>0</v>
      </c>
      <c r="BI19" s="13">
        <f t="shared" si="9"/>
        <v>0</v>
      </c>
      <c r="BJ19" s="60"/>
    </row>
    <row r="20" spans="2:62" x14ac:dyDescent="0.25">
      <c r="B20" s="6">
        <v>14</v>
      </c>
      <c r="C20" s="76">
        <f>SETTINGS!C23</f>
        <v>0</v>
      </c>
      <c r="D20" s="81" t="s">
        <v>81</v>
      </c>
      <c r="E20" s="9"/>
      <c r="F20" s="5"/>
      <c r="G20" s="5"/>
      <c r="H20" s="5"/>
      <c r="I20" s="5"/>
      <c r="J20" s="8">
        <f t="shared" si="10"/>
        <v>0</v>
      </c>
      <c r="K20" s="8">
        <f t="shared" si="8"/>
        <v>50</v>
      </c>
      <c r="L20" s="12">
        <f>K20*(0.01*IF(D20="lab",SETTINGS!$F$22,SETTINGS!$F$29))</f>
        <v>0</v>
      </c>
      <c r="M20" s="9"/>
      <c r="N20" s="9"/>
      <c r="O20" s="9"/>
      <c r="P20" s="5"/>
      <c r="Q20" s="5"/>
      <c r="R20" s="8">
        <f t="shared" si="11"/>
        <v>0</v>
      </c>
      <c r="S20" s="11">
        <f t="shared" si="0"/>
        <v>50</v>
      </c>
      <c r="T20" s="12">
        <f>S20*(0.01*IF(D20="lab",SETTINGS!$F$23,SETTINGS!$F$30))</f>
        <v>0</v>
      </c>
      <c r="U20" s="9">
        <f>ATT!S19</f>
        <v>100</v>
      </c>
      <c r="V20" s="12">
        <f>U20*(0.01*IF(D20="lab",SETTINGS!$F$21,SETTINGS!$F$28))</f>
        <v>0</v>
      </c>
      <c r="W20" s="9">
        <v>100</v>
      </c>
      <c r="X20" s="12">
        <f>W20*(0.01*IF(D20="lab",SETTINGS!$F$24,SETTINGS!$F$31))</f>
        <v>0</v>
      </c>
      <c r="Y20" s="71">
        <v>0</v>
      </c>
      <c r="Z20" s="12" t="e">
        <f>Y20*(0.01*IF(#REF!="ONLINE", SETTINGS!$F$26, IF('MID-FINAL'!#REF!="BLENDED",SETTINGS!$F$34, IF('MID-FINAL'!#REF!="MODULAR",SETTINGS!$F$42))))</f>
        <v>#REF!</v>
      </c>
      <c r="AA20" s="82"/>
      <c r="AB20" s="83">
        <f t="shared" si="1"/>
        <v>50</v>
      </c>
      <c r="AC20" s="12">
        <f>AB20*(0.01*IF(D20="lab",SETTINGS!$F$25,"0"))</f>
        <v>0</v>
      </c>
      <c r="AD20" s="9"/>
      <c r="AE20" s="8">
        <f t="shared" si="2"/>
        <v>50</v>
      </c>
      <c r="AF20" s="12">
        <f>AE20*(0.01*IF(D20="lab",SETTINGS!$F$26,SETTINGS!$F$32))</f>
        <v>0</v>
      </c>
      <c r="AG20" s="13">
        <f t="shared" si="3"/>
        <v>0</v>
      </c>
      <c r="AI20" s="9"/>
      <c r="AJ20" s="5"/>
      <c r="AK20" s="5"/>
      <c r="AL20" s="5"/>
      <c r="AM20" s="5"/>
      <c r="AN20" s="8">
        <f t="shared" si="12"/>
        <v>0</v>
      </c>
      <c r="AO20" s="8">
        <f t="shared" si="4"/>
        <v>50</v>
      </c>
      <c r="AP20" s="12">
        <f>AO20*(0.01*IF(D20="lab",SETTINGS!$F$22,SETTINGS!$F$29))</f>
        <v>0</v>
      </c>
      <c r="AQ20" s="9"/>
      <c r="AR20" s="9"/>
      <c r="AS20" s="5"/>
      <c r="AT20" s="5"/>
      <c r="AU20" s="5"/>
      <c r="AV20" s="8">
        <f t="shared" si="13"/>
        <v>0</v>
      </c>
      <c r="AW20" s="8">
        <f t="shared" si="5"/>
        <v>50</v>
      </c>
      <c r="AX20" s="12">
        <f>AW20*(0.01*IF(D20="lab",SETTINGS!$F$23,SETTINGS!$F$30))</f>
        <v>0</v>
      </c>
      <c r="AY20" s="9">
        <f>ATT!AJ19</f>
        <v>100</v>
      </c>
      <c r="AZ20" s="12">
        <f>AY20*(0.01*IF(D20="lab",SETTINGS!$F$21,SETTINGS!$F$28))</f>
        <v>0</v>
      </c>
      <c r="BA20" s="9">
        <v>100</v>
      </c>
      <c r="BB20" s="12">
        <f>BA20*(0.01*IF(D20="lab",SETTINGS!$F$24,SETTINGS!$F$31))</f>
        <v>0</v>
      </c>
      <c r="BC20" s="71"/>
      <c r="BD20" s="8">
        <f t="shared" si="6"/>
        <v>50</v>
      </c>
      <c r="BE20" s="12">
        <f>BD20*(0.01*IF(D20="lab",SETTINGS!$F$25,"0"))</f>
        <v>0</v>
      </c>
      <c r="BF20" s="9"/>
      <c r="BG20" s="8">
        <f t="shared" si="7"/>
        <v>50</v>
      </c>
      <c r="BH20" s="12">
        <f>BG20*(0.01*IF(D20="lab",SETTINGS!$F$26,SETTINGS!$F$32))</f>
        <v>0</v>
      </c>
      <c r="BI20" s="13">
        <f t="shared" si="9"/>
        <v>0</v>
      </c>
      <c r="BJ20" s="60"/>
    </row>
    <row r="21" spans="2:62" x14ac:dyDescent="0.25">
      <c r="B21" s="6">
        <v>15</v>
      </c>
      <c r="C21" s="76">
        <f>SETTINGS!C24</f>
        <v>0</v>
      </c>
      <c r="D21" s="81" t="s">
        <v>81</v>
      </c>
      <c r="E21" s="9"/>
      <c r="F21" s="5"/>
      <c r="G21" s="5"/>
      <c r="H21" s="5"/>
      <c r="I21" s="5"/>
      <c r="J21" s="8">
        <f t="shared" si="10"/>
        <v>0</v>
      </c>
      <c r="K21" s="8">
        <f t="shared" si="8"/>
        <v>50</v>
      </c>
      <c r="L21" s="12">
        <f>K21*(0.01*IF(D21="lab",SETTINGS!$F$22,SETTINGS!$F$29))</f>
        <v>0</v>
      </c>
      <c r="M21" s="9"/>
      <c r="N21" s="9"/>
      <c r="O21" s="9"/>
      <c r="P21" s="5"/>
      <c r="Q21" s="5"/>
      <c r="R21" s="8">
        <f t="shared" si="11"/>
        <v>0</v>
      </c>
      <c r="S21" s="11">
        <f t="shared" si="0"/>
        <v>50</v>
      </c>
      <c r="T21" s="12">
        <f>S21*(0.01*IF(D21="lab",SETTINGS!$F$23,SETTINGS!$F$30))</f>
        <v>0</v>
      </c>
      <c r="U21" s="9">
        <f>ATT!S20</f>
        <v>100</v>
      </c>
      <c r="V21" s="12">
        <f>U21*(0.01*IF(D21="lab",SETTINGS!$F$21,SETTINGS!$F$28))</f>
        <v>0</v>
      </c>
      <c r="W21" s="9">
        <v>100</v>
      </c>
      <c r="X21" s="12">
        <f>W21*(0.01*IF(D21="lab",SETTINGS!$F$24,SETTINGS!$F$31))</f>
        <v>0</v>
      </c>
      <c r="Y21" s="71">
        <v>0</v>
      </c>
      <c r="Z21" s="12" t="e">
        <f>Y21*(0.01*IF(#REF!="ONLINE", SETTINGS!$F$26, IF('MID-FINAL'!#REF!="BLENDED",SETTINGS!$F$34, IF('MID-FINAL'!#REF!="MODULAR",SETTINGS!$F$42))))</f>
        <v>#REF!</v>
      </c>
      <c r="AA21" s="82"/>
      <c r="AB21" s="83">
        <f t="shared" si="1"/>
        <v>50</v>
      </c>
      <c r="AC21" s="12">
        <f>AB21*(0.01*IF(D21="lab",SETTINGS!$F$25,"0"))</f>
        <v>0</v>
      </c>
      <c r="AD21" s="9"/>
      <c r="AE21" s="8">
        <f t="shared" si="2"/>
        <v>50</v>
      </c>
      <c r="AF21" s="12">
        <f>AE21*(0.01*IF(D21="lab",SETTINGS!$F$26,SETTINGS!$F$32))</f>
        <v>0</v>
      </c>
      <c r="AG21" s="13">
        <f t="shared" si="3"/>
        <v>0</v>
      </c>
      <c r="AI21" s="9"/>
      <c r="AJ21" s="5"/>
      <c r="AK21" s="5"/>
      <c r="AL21" s="5"/>
      <c r="AM21" s="5"/>
      <c r="AN21" s="8">
        <f t="shared" si="12"/>
        <v>0</v>
      </c>
      <c r="AO21" s="8">
        <f t="shared" si="4"/>
        <v>50</v>
      </c>
      <c r="AP21" s="12">
        <f>AO21*(0.01*IF(D21="lab",SETTINGS!$F$22,SETTINGS!$F$29))</f>
        <v>0</v>
      </c>
      <c r="AQ21" s="9"/>
      <c r="AR21" s="9"/>
      <c r="AS21" s="5"/>
      <c r="AT21" s="5"/>
      <c r="AU21" s="5"/>
      <c r="AV21" s="8">
        <f t="shared" si="13"/>
        <v>0</v>
      </c>
      <c r="AW21" s="8">
        <f t="shared" si="5"/>
        <v>50</v>
      </c>
      <c r="AX21" s="12">
        <f>AW21*(0.01*IF(D21="lab",SETTINGS!$F$23,SETTINGS!$F$30))</f>
        <v>0</v>
      </c>
      <c r="AY21" s="9">
        <f>ATT!AJ20</f>
        <v>100</v>
      </c>
      <c r="AZ21" s="12">
        <f>AY21*(0.01*IF(D21="lab",SETTINGS!$F$21,SETTINGS!$F$28))</f>
        <v>0</v>
      </c>
      <c r="BA21" s="9">
        <v>100</v>
      </c>
      <c r="BB21" s="12">
        <f>BA21*(0.01*IF(D21="lab",SETTINGS!$F$24,SETTINGS!$F$31))</f>
        <v>0</v>
      </c>
      <c r="BC21" s="71"/>
      <c r="BD21" s="8">
        <f t="shared" si="6"/>
        <v>50</v>
      </c>
      <c r="BE21" s="12">
        <f>BD21*(0.01*IF(D21="lab",SETTINGS!$F$25,"0"))</f>
        <v>0</v>
      </c>
      <c r="BF21" s="9"/>
      <c r="BG21" s="8">
        <f t="shared" si="7"/>
        <v>50</v>
      </c>
      <c r="BH21" s="12">
        <f>BG21*(0.01*IF(D21="lab",SETTINGS!$F$26,SETTINGS!$F$32))</f>
        <v>0</v>
      </c>
      <c r="BI21" s="13">
        <f t="shared" si="9"/>
        <v>0</v>
      </c>
      <c r="BJ21" s="60"/>
    </row>
    <row r="22" spans="2:62" x14ac:dyDescent="0.25">
      <c r="B22" s="6">
        <v>16</v>
      </c>
      <c r="C22" s="76">
        <f>SETTINGS!C25</f>
        <v>0</v>
      </c>
      <c r="D22" s="81" t="s">
        <v>81</v>
      </c>
      <c r="E22" s="9"/>
      <c r="F22" s="5"/>
      <c r="G22" s="5"/>
      <c r="H22" s="5"/>
      <c r="I22" s="5"/>
      <c r="J22" s="8">
        <f t="shared" si="10"/>
        <v>0</v>
      </c>
      <c r="K22" s="8">
        <f t="shared" si="8"/>
        <v>50</v>
      </c>
      <c r="L22" s="12">
        <f>K22*(0.01*IF(D22="lab",SETTINGS!$F$22,SETTINGS!$F$29))</f>
        <v>0</v>
      </c>
      <c r="M22" s="9"/>
      <c r="N22" s="9"/>
      <c r="O22" s="9"/>
      <c r="P22" s="5"/>
      <c r="Q22" s="5"/>
      <c r="R22" s="8">
        <f t="shared" si="11"/>
        <v>0</v>
      </c>
      <c r="S22" s="11">
        <f t="shared" si="0"/>
        <v>50</v>
      </c>
      <c r="T22" s="12">
        <f>S22*(0.01*IF(D22="lab",SETTINGS!$F$23,SETTINGS!$F$30))</f>
        <v>0</v>
      </c>
      <c r="U22" s="9">
        <f>ATT!S21</f>
        <v>100</v>
      </c>
      <c r="V22" s="12">
        <f>U22*(0.01*IF(D22="lab",SETTINGS!$F$21,SETTINGS!$F$28))</f>
        <v>0</v>
      </c>
      <c r="W22" s="9">
        <v>100</v>
      </c>
      <c r="X22" s="12">
        <f>W22*(0.01*IF(D22="lab",SETTINGS!$F$24,SETTINGS!$F$31))</f>
        <v>0</v>
      </c>
      <c r="Y22" s="71">
        <v>0</v>
      </c>
      <c r="Z22" s="12" t="e">
        <f>Y22*(0.01*IF(#REF!="ONLINE", SETTINGS!$F$26, IF('MID-FINAL'!#REF!="BLENDED",SETTINGS!$F$34, IF('MID-FINAL'!#REF!="MODULAR",SETTINGS!$F$42))))</f>
        <v>#REF!</v>
      </c>
      <c r="AA22" s="82"/>
      <c r="AB22" s="83">
        <f t="shared" si="1"/>
        <v>50</v>
      </c>
      <c r="AC22" s="12">
        <f>AB22*(0.01*IF(D22="lab",SETTINGS!$F$25,"0"))</f>
        <v>0</v>
      </c>
      <c r="AD22" s="9"/>
      <c r="AE22" s="8">
        <f t="shared" si="2"/>
        <v>50</v>
      </c>
      <c r="AF22" s="12">
        <f>AE22*(0.01*IF(D22="lab",SETTINGS!$F$26,SETTINGS!$F$32))</f>
        <v>0</v>
      </c>
      <c r="AG22" s="13">
        <f t="shared" si="3"/>
        <v>0</v>
      </c>
      <c r="AI22" s="9"/>
      <c r="AJ22" s="5"/>
      <c r="AK22" s="5"/>
      <c r="AL22" s="5"/>
      <c r="AM22" s="5"/>
      <c r="AN22" s="8">
        <f t="shared" si="12"/>
        <v>0</v>
      </c>
      <c r="AO22" s="8">
        <f t="shared" si="4"/>
        <v>50</v>
      </c>
      <c r="AP22" s="12">
        <f>AO22*(0.01*IF(D22="lab",SETTINGS!$F$22,SETTINGS!$F$29))</f>
        <v>0</v>
      </c>
      <c r="AQ22" s="9"/>
      <c r="AR22" s="9"/>
      <c r="AS22" s="5"/>
      <c r="AT22" s="5"/>
      <c r="AU22" s="5"/>
      <c r="AV22" s="8">
        <f t="shared" si="13"/>
        <v>0</v>
      </c>
      <c r="AW22" s="8">
        <f t="shared" si="5"/>
        <v>50</v>
      </c>
      <c r="AX22" s="12">
        <f>AW22*(0.01*IF(D22="lab",SETTINGS!$F$23,SETTINGS!$F$30))</f>
        <v>0</v>
      </c>
      <c r="AY22" s="9">
        <f>ATT!AJ21</f>
        <v>100</v>
      </c>
      <c r="AZ22" s="12">
        <f>AY22*(0.01*IF(D22="lab",SETTINGS!$F$21,SETTINGS!$F$28))</f>
        <v>0</v>
      </c>
      <c r="BA22" s="9">
        <v>100</v>
      </c>
      <c r="BB22" s="12">
        <f>BA22*(0.01*IF(D22="lab",SETTINGS!$F$24,SETTINGS!$F$31))</f>
        <v>0</v>
      </c>
      <c r="BC22" s="71"/>
      <c r="BD22" s="8">
        <f t="shared" si="6"/>
        <v>50</v>
      </c>
      <c r="BE22" s="12">
        <f>BD22*(0.01*IF(D22="lab",SETTINGS!$F$25,"0"))</f>
        <v>0</v>
      </c>
      <c r="BF22" s="5"/>
      <c r="BG22" s="8">
        <f t="shared" si="7"/>
        <v>50</v>
      </c>
      <c r="BH22" s="12">
        <f>BG22*(0.01*IF(D22="lab",SETTINGS!$F$26,SETTINGS!$F$32))</f>
        <v>0</v>
      </c>
      <c r="BI22" s="13">
        <f t="shared" si="9"/>
        <v>0</v>
      </c>
      <c r="BJ22" s="60"/>
    </row>
    <row r="23" spans="2:62" x14ac:dyDescent="0.25">
      <c r="B23" s="6">
        <v>17</v>
      </c>
      <c r="C23" s="76">
        <f>SETTINGS!C26</f>
        <v>0</v>
      </c>
      <c r="D23" s="81" t="s">
        <v>81</v>
      </c>
      <c r="E23" s="9"/>
      <c r="F23" s="5"/>
      <c r="G23" s="5"/>
      <c r="H23" s="5"/>
      <c r="I23" s="5"/>
      <c r="J23" s="8">
        <f t="shared" si="10"/>
        <v>0</v>
      </c>
      <c r="K23" s="8">
        <f t="shared" si="8"/>
        <v>50</v>
      </c>
      <c r="L23" s="12">
        <f>K23*(0.01*IF(D23="lab",SETTINGS!$F$22,SETTINGS!$F$29))</f>
        <v>0</v>
      </c>
      <c r="M23" s="9"/>
      <c r="N23" s="9"/>
      <c r="O23" s="9"/>
      <c r="P23" s="5"/>
      <c r="Q23" s="5"/>
      <c r="R23" s="8">
        <f t="shared" si="11"/>
        <v>0</v>
      </c>
      <c r="S23" s="11">
        <f t="shared" si="0"/>
        <v>50</v>
      </c>
      <c r="T23" s="12">
        <f>S23*(0.01*IF(D23="lab",SETTINGS!$F$23,SETTINGS!$F$30))</f>
        <v>0</v>
      </c>
      <c r="U23" s="9">
        <f>ATT!S22</f>
        <v>100</v>
      </c>
      <c r="V23" s="12">
        <f>U23*(0.01*IF(D23="lab",SETTINGS!$F$21,SETTINGS!$F$28))</f>
        <v>0</v>
      </c>
      <c r="W23" s="9">
        <v>100</v>
      </c>
      <c r="X23" s="12">
        <f>W23*(0.01*IF(D23="lab",SETTINGS!$F$24,SETTINGS!$F$31))</f>
        <v>0</v>
      </c>
      <c r="Y23" s="71">
        <v>0</v>
      </c>
      <c r="Z23" s="12" t="e">
        <f>Y23*(0.01*IF(#REF!="ONLINE", SETTINGS!$F$26, IF('MID-FINAL'!#REF!="BLENDED",SETTINGS!$F$34, IF('MID-FINAL'!#REF!="MODULAR",SETTINGS!$F$42))))</f>
        <v>#REF!</v>
      </c>
      <c r="AA23" s="82"/>
      <c r="AB23" s="83">
        <f t="shared" si="1"/>
        <v>50</v>
      </c>
      <c r="AC23" s="12">
        <f>AB23*(0.01*IF(D23="lab",SETTINGS!$F$25,"0"))</f>
        <v>0</v>
      </c>
      <c r="AD23" s="9"/>
      <c r="AE23" s="8">
        <f t="shared" si="2"/>
        <v>50</v>
      </c>
      <c r="AF23" s="12">
        <f>AE23*(0.01*IF(D23="lab",SETTINGS!$F$26,SETTINGS!$F$32))</f>
        <v>0</v>
      </c>
      <c r="AG23" s="13">
        <f t="shared" si="3"/>
        <v>0</v>
      </c>
      <c r="AI23" s="9"/>
      <c r="AJ23" s="5"/>
      <c r="AK23" s="5"/>
      <c r="AL23" s="5"/>
      <c r="AM23" s="5"/>
      <c r="AN23" s="8">
        <f t="shared" si="12"/>
        <v>0</v>
      </c>
      <c r="AO23" s="8">
        <f t="shared" si="4"/>
        <v>50</v>
      </c>
      <c r="AP23" s="12">
        <f>AO23*(0.01*IF(D23="lab",SETTINGS!$F$22,SETTINGS!$F$29))</f>
        <v>0</v>
      </c>
      <c r="AQ23" s="9"/>
      <c r="AR23" s="9"/>
      <c r="AS23" s="5"/>
      <c r="AT23" s="5"/>
      <c r="AU23" s="5"/>
      <c r="AV23" s="8">
        <f t="shared" si="13"/>
        <v>0</v>
      </c>
      <c r="AW23" s="8">
        <f t="shared" si="5"/>
        <v>50</v>
      </c>
      <c r="AX23" s="12">
        <f>AW23*(0.01*IF(D23="lab",SETTINGS!$F$23,SETTINGS!$F$30))</f>
        <v>0</v>
      </c>
      <c r="AY23" s="9">
        <f>ATT!AJ22</f>
        <v>100</v>
      </c>
      <c r="AZ23" s="12">
        <f>AY23*(0.01*IF(D23="lab",SETTINGS!$F$21,SETTINGS!$F$28))</f>
        <v>0</v>
      </c>
      <c r="BA23" s="9">
        <v>100</v>
      </c>
      <c r="BB23" s="12">
        <f>BA23*(0.01*IF(D23="lab",SETTINGS!$F$24,SETTINGS!$F$31))</f>
        <v>0</v>
      </c>
      <c r="BC23" s="71"/>
      <c r="BD23" s="8">
        <f t="shared" si="6"/>
        <v>50</v>
      </c>
      <c r="BE23" s="12">
        <f>BD23*(0.01*IF(D23="lab",SETTINGS!$F$25,"0"))</f>
        <v>0</v>
      </c>
      <c r="BF23" s="5"/>
      <c r="BG23" s="8">
        <f t="shared" si="7"/>
        <v>50</v>
      </c>
      <c r="BH23" s="12">
        <f>BG23*(0.01*IF(D23="lab",SETTINGS!$F$26,SETTINGS!$F$32))</f>
        <v>0</v>
      </c>
      <c r="BI23" s="13">
        <f t="shared" si="9"/>
        <v>0</v>
      </c>
      <c r="BJ23" s="60"/>
    </row>
    <row r="24" spans="2:62" x14ac:dyDescent="0.25">
      <c r="B24" s="6">
        <v>18</v>
      </c>
      <c r="C24" s="76">
        <f>SETTINGS!C27</f>
        <v>0</v>
      </c>
      <c r="D24" s="81" t="s">
        <v>81</v>
      </c>
      <c r="E24" s="9"/>
      <c r="F24" s="5"/>
      <c r="G24" s="5"/>
      <c r="H24" s="5"/>
      <c r="I24" s="5"/>
      <c r="J24" s="8">
        <f t="shared" si="10"/>
        <v>0</v>
      </c>
      <c r="K24" s="8">
        <f t="shared" si="8"/>
        <v>50</v>
      </c>
      <c r="L24" s="12">
        <f>K24*(0.01*IF(D24="lab",SETTINGS!$F$22,SETTINGS!$F$29))</f>
        <v>0</v>
      </c>
      <c r="M24" s="9"/>
      <c r="N24" s="9"/>
      <c r="O24" s="9"/>
      <c r="P24" s="5"/>
      <c r="Q24" s="5"/>
      <c r="R24" s="8">
        <f t="shared" si="11"/>
        <v>0</v>
      </c>
      <c r="S24" s="11">
        <f t="shared" si="0"/>
        <v>50</v>
      </c>
      <c r="T24" s="12">
        <f>S24*(0.01*IF(D24="lab",SETTINGS!$F$23,SETTINGS!$F$30))</f>
        <v>0</v>
      </c>
      <c r="U24" s="9">
        <f>ATT!S23</f>
        <v>100</v>
      </c>
      <c r="V24" s="12">
        <f>U24*(0.01*IF(D24="lab",SETTINGS!$F$21,SETTINGS!$F$28))</f>
        <v>0</v>
      </c>
      <c r="W24" s="9">
        <v>100</v>
      </c>
      <c r="X24" s="12">
        <f>W24*(0.01*IF(D24="lab",SETTINGS!$F$24,SETTINGS!$F$31))</f>
        <v>0</v>
      </c>
      <c r="Y24" s="71">
        <v>0</v>
      </c>
      <c r="Z24" s="12" t="e">
        <f>Y24*(0.01*IF(#REF!="ONLINE", SETTINGS!$F$26, IF('MID-FINAL'!#REF!="BLENDED",SETTINGS!$F$34, IF('MID-FINAL'!#REF!="MODULAR",SETTINGS!$F$42))))</f>
        <v>#REF!</v>
      </c>
      <c r="AA24" s="82"/>
      <c r="AB24" s="83">
        <f t="shared" si="1"/>
        <v>50</v>
      </c>
      <c r="AC24" s="12">
        <f>AB24*(0.01*IF(D24="lab",SETTINGS!$F$25,"0"))</f>
        <v>0</v>
      </c>
      <c r="AD24" s="9"/>
      <c r="AE24" s="8">
        <f t="shared" si="2"/>
        <v>50</v>
      </c>
      <c r="AF24" s="12">
        <f>AE24*(0.01*IF(D24="lab",SETTINGS!$F$26,SETTINGS!$F$32))</f>
        <v>0</v>
      </c>
      <c r="AG24" s="13">
        <f t="shared" si="3"/>
        <v>0</v>
      </c>
      <c r="AI24" s="9"/>
      <c r="AJ24" s="5"/>
      <c r="AK24" s="5"/>
      <c r="AL24" s="5"/>
      <c r="AM24" s="5"/>
      <c r="AN24" s="8">
        <f t="shared" si="12"/>
        <v>0</v>
      </c>
      <c r="AO24" s="8">
        <f t="shared" si="4"/>
        <v>50</v>
      </c>
      <c r="AP24" s="12">
        <f>AO24*(0.01*IF(D24="lab",SETTINGS!$F$22,SETTINGS!$F$29))</f>
        <v>0</v>
      </c>
      <c r="AQ24" s="9"/>
      <c r="AR24" s="9"/>
      <c r="AS24" s="5"/>
      <c r="AT24" s="5"/>
      <c r="AU24" s="5"/>
      <c r="AV24" s="8">
        <f t="shared" si="13"/>
        <v>0</v>
      </c>
      <c r="AW24" s="8">
        <f t="shared" si="5"/>
        <v>50</v>
      </c>
      <c r="AX24" s="12">
        <f>AW24*(0.01*IF(D24="lab",SETTINGS!$F$23,SETTINGS!$F$30))</f>
        <v>0</v>
      </c>
      <c r="AY24" s="9">
        <f>ATT!AJ23</f>
        <v>100</v>
      </c>
      <c r="AZ24" s="12">
        <f>AY24*(0.01*IF(D24="lab",SETTINGS!$F$21,SETTINGS!$F$28))</f>
        <v>0</v>
      </c>
      <c r="BA24" s="9">
        <v>100</v>
      </c>
      <c r="BB24" s="12">
        <f>BA24*(0.01*IF(D24="lab",SETTINGS!$F$24,SETTINGS!$F$31))</f>
        <v>0</v>
      </c>
      <c r="BC24" s="71"/>
      <c r="BD24" s="8">
        <f t="shared" si="6"/>
        <v>50</v>
      </c>
      <c r="BE24" s="12">
        <f>BD24*(0.01*IF(D24="lab",SETTINGS!$F$25,"0"))</f>
        <v>0</v>
      </c>
      <c r="BF24" s="5"/>
      <c r="BG24" s="8">
        <f t="shared" si="7"/>
        <v>50</v>
      </c>
      <c r="BH24" s="12">
        <f>BG24*(0.01*IF(D24="lab",SETTINGS!$F$26,SETTINGS!$F$32))</f>
        <v>0</v>
      </c>
      <c r="BI24" s="13">
        <f t="shared" si="9"/>
        <v>0</v>
      </c>
      <c r="BJ24" s="60"/>
    </row>
    <row r="25" spans="2:62" x14ac:dyDescent="0.25">
      <c r="B25" s="6">
        <v>19</v>
      </c>
      <c r="C25" s="76">
        <f>SETTINGS!C28</f>
        <v>0</v>
      </c>
      <c r="D25" s="81" t="s">
        <v>81</v>
      </c>
      <c r="E25" s="9"/>
      <c r="F25" s="5"/>
      <c r="G25" s="5"/>
      <c r="H25" s="5"/>
      <c r="I25" s="5"/>
      <c r="J25" s="8">
        <f t="shared" si="10"/>
        <v>0</v>
      </c>
      <c r="K25" s="8">
        <f t="shared" si="8"/>
        <v>50</v>
      </c>
      <c r="L25" s="12">
        <f>K25*(0.01*IF(D25="lab",SETTINGS!$F$22,SETTINGS!$F$29))</f>
        <v>0</v>
      </c>
      <c r="M25" s="9"/>
      <c r="N25" s="9"/>
      <c r="O25" s="9"/>
      <c r="P25" s="5"/>
      <c r="Q25" s="5"/>
      <c r="R25" s="8">
        <f t="shared" si="11"/>
        <v>0</v>
      </c>
      <c r="S25" s="11">
        <f t="shared" si="0"/>
        <v>50</v>
      </c>
      <c r="T25" s="12">
        <f>S25*(0.01*IF(D25="lab",SETTINGS!$F$23,SETTINGS!$F$30))</f>
        <v>0</v>
      </c>
      <c r="U25" s="9">
        <f>ATT!S24</f>
        <v>100</v>
      </c>
      <c r="V25" s="12">
        <f>U25*(0.01*IF(D25="lab",SETTINGS!$F$21,SETTINGS!$F$28))</f>
        <v>0</v>
      </c>
      <c r="W25" s="9">
        <v>100</v>
      </c>
      <c r="X25" s="12">
        <f>W25*(0.01*IF(D25="lab",SETTINGS!$F$24,SETTINGS!$F$31))</f>
        <v>0</v>
      </c>
      <c r="Y25" s="71">
        <v>0</v>
      </c>
      <c r="Z25" s="12" t="e">
        <f>Y25*(0.01*IF(#REF!="ONLINE", SETTINGS!$F$26, IF('MID-FINAL'!#REF!="BLENDED",SETTINGS!$F$34, IF('MID-FINAL'!#REF!="MODULAR",SETTINGS!$F$42))))</f>
        <v>#REF!</v>
      </c>
      <c r="AA25" s="82"/>
      <c r="AB25" s="83">
        <f t="shared" si="1"/>
        <v>50</v>
      </c>
      <c r="AC25" s="12">
        <f>AB25*(0.01*IF(D25="lab",SETTINGS!$F$25,"0"))</f>
        <v>0</v>
      </c>
      <c r="AD25" s="9"/>
      <c r="AE25" s="8">
        <f t="shared" si="2"/>
        <v>50</v>
      </c>
      <c r="AF25" s="12">
        <f>AE25*(0.01*IF(D25="lab",SETTINGS!$F$26,SETTINGS!$F$32))</f>
        <v>0</v>
      </c>
      <c r="AG25" s="13">
        <f t="shared" si="3"/>
        <v>0</v>
      </c>
      <c r="AI25" s="9"/>
      <c r="AJ25" s="5"/>
      <c r="AK25" s="5"/>
      <c r="AL25" s="5"/>
      <c r="AM25" s="5"/>
      <c r="AN25" s="8">
        <f t="shared" si="12"/>
        <v>0</v>
      </c>
      <c r="AO25" s="8">
        <f t="shared" si="4"/>
        <v>50</v>
      </c>
      <c r="AP25" s="12">
        <f>AO25*(0.01*IF(D25="lab",SETTINGS!$F$22,SETTINGS!$F$29))</f>
        <v>0</v>
      </c>
      <c r="AQ25" s="9"/>
      <c r="AR25" s="9"/>
      <c r="AS25" s="5"/>
      <c r="AT25" s="5"/>
      <c r="AU25" s="5"/>
      <c r="AV25" s="8">
        <f t="shared" si="13"/>
        <v>0</v>
      </c>
      <c r="AW25" s="8">
        <f t="shared" si="5"/>
        <v>50</v>
      </c>
      <c r="AX25" s="12">
        <f>AW25*(0.01*IF(D25="lab",SETTINGS!$F$23,SETTINGS!$F$30))</f>
        <v>0</v>
      </c>
      <c r="AY25" s="9">
        <f>ATT!AJ24</f>
        <v>100</v>
      </c>
      <c r="AZ25" s="12">
        <f>AY25*(0.01*IF(D25="lab",SETTINGS!$F$21,SETTINGS!$F$28))</f>
        <v>0</v>
      </c>
      <c r="BA25" s="9">
        <v>100</v>
      </c>
      <c r="BB25" s="12">
        <f>BA25*(0.01*IF(D25="lab",SETTINGS!$F$24,SETTINGS!$F$31))</f>
        <v>0</v>
      </c>
      <c r="BC25" s="71"/>
      <c r="BD25" s="8">
        <f t="shared" si="6"/>
        <v>50</v>
      </c>
      <c r="BE25" s="12">
        <f>BD25*(0.01*IF(D25="lab",SETTINGS!$F$25,"0"))</f>
        <v>0</v>
      </c>
      <c r="BF25" s="5"/>
      <c r="BG25" s="8">
        <f t="shared" si="7"/>
        <v>50</v>
      </c>
      <c r="BH25" s="12">
        <f>BG25*(0.01*IF(D25="lab",SETTINGS!$F$26,SETTINGS!$F$32))</f>
        <v>0</v>
      </c>
      <c r="BI25" s="13">
        <f t="shared" si="9"/>
        <v>0</v>
      </c>
      <c r="BJ25" s="60"/>
    </row>
    <row r="26" spans="2:62" x14ac:dyDescent="0.25">
      <c r="B26" s="6">
        <v>20</v>
      </c>
      <c r="C26" s="76">
        <f>SETTINGS!C29</f>
        <v>0</v>
      </c>
      <c r="D26" s="81" t="s">
        <v>81</v>
      </c>
      <c r="E26" s="9"/>
      <c r="F26" s="5"/>
      <c r="G26" s="5"/>
      <c r="H26" s="5"/>
      <c r="I26" s="5"/>
      <c r="J26" s="8">
        <f t="shared" si="10"/>
        <v>0</v>
      </c>
      <c r="K26" s="8">
        <f t="shared" si="8"/>
        <v>50</v>
      </c>
      <c r="L26" s="12">
        <f>K26*(0.01*IF(D26="lab",SETTINGS!$F$22,SETTINGS!$F$29))</f>
        <v>0</v>
      </c>
      <c r="M26" s="9"/>
      <c r="N26" s="9"/>
      <c r="O26" s="9"/>
      <c r="P26" s="5"/>
      <c r="Q26" s="5"/>
      <c r="R26" s="8">
        <f t="shared" si="11"/>
        <v>0</v>
      </c>
      <c r="S26" s="11">
        <f t="shared" si="0"/>
        <v>50</v>
      </c>
      <c r="T26" s="12">
        <f>S26*(0.01*IF(D26="lab",SETTINGS!$F$23,SETTINGS!$F$30))</f>
        <v>0</v>
      </c>
      <c r="U26" s="9">
        <f>ATT!S25</f>
        <v>100</v>
      </c>
      <c r="V26" s="12">
        <f>U26*(0.01*IF(D26="lab",SETTINGS!$F$21,SETTINGS!$F$28))</f>
        <v>0</v>
      </c>
      <c r="W26" s="9">
        <v>100</v>
      </c>
      <c r="X26" s="12">
        <f>W26*(0.01*IF(D26="lab",SETTINGS!$F$24,SETTINGS!$F$31))</f>
        <v>0</v>
      </c>
      <c r="Y26" s="71">
        <v>0</v>
      </c>
      <c r="Z26" s="12" t="e">
        <f>Y26*(0.01*IF(#REF!="ONLINE", SETTINGS!$F$26, IF('MID-FINAL'!#REF!="BLENDED",SETTINGS!$F$34, IF('MID-FINAL'!#REF!="MODULAR",SETTINGS!$F$42))))</f>
        <v>#REF!</v>
      </c>
      <c r="AA26" s="82"/>
      <c r="AB26" s="83">
        <f t="shared" si="1"/>
        <v>50</v>
      </c>
      <c r="AC26" s="12">
        <f>AB26*(0.01*IF(D26="lab",SETTINGS!$F$25,"0"))</f>
        <v>0</v>
      </c>
      <c r="AD26" s="9"/>
      <c r="AE26" s="8">
        <f t="shared" si="2"/>
        <v>50</v>
      </c>
      <c r="AF26" s="12">
        <f>AE26*(0.01*IF(D26="lab",SETTINGS!$F$26,SETTINGS!$F$32))</f>
        <v>0</v>
      </c>
      <c r="AG26" s="13">
        <f t="shared" si="3"/>
        <v>0</v>
      </c>
      <c r="AI26" s="9"/>
      <c r="AJ26" s="5"/>
      <c r="AK26" s="5"/>
      <c r="AL26" s="5"/>
      <c r="AM26" s="5"/>
      <c r="AN26" s="8">
        <f t="shared" si="12"/>
        <v>0</v>
      </c>
      <c r="AO26" s="8">
        <f t="shared" si="4"/>
        <v>50</v>
      </c>
      <c r="AP26" s="12">
        <f>AO26*(0.01*IF(D26="lab",SETTINGS!$F$22,SETTINGS!$F$29))</f>
        <v>0</v>
      </c>
      <c r="AQ26" s="9"/>
      <c r="AR26" s="9"/>
      <c r="AS26" s="5"/>
      <c r="AT26" s="5"/>
      <c r="AU26" s="5"/>
      <c r="AV26" s="8">
        <f t="shared" si="13"/>
        <v>0</v>
      </c>
      <c r="AW26" s="8">
        <f t="shared" si="5"/>
        <v>50</v>
      </c>
      <c r="AX26" s="12">
        <f>AW26*(0.01*IF(D26="lab",SETTINGS!$F$23,SETTINGS!$F$30))</f>
        <v>0</v>
      </c>
      <c r="AY26" s="9">
        <f>ATT!AJ25</f>
        <v>100</v>
      </c>
      <c r="AZ26" s="12">
        <f>AY26*(0.01*IF(D26="lab",SETTINGS!$F$21,SETTINGS!$F$28))</f>
        <v>0</v>
      </c>
      <c r="BA26" s="9">
        <v>100</v>
      </c>
      <c r="BB26" s="12">
        <f>BA26*(0.01*IF(D26="lab",SETTINGS!$F$24,SETTINGS!$F$31))</f>
        <v>0</v>
      </c>
      <c r="BC26" s="71"/>
      <c r="BD26" s="8">
        <f t="shared" si="6"/>
        <v>50</v>
      </c>
      <c r="BE26" s="12">
        <f>BD26*(0.01*IF(D26="lab",SETTINGS!$F$25,"0"))</f>
        <v>0</v>
      </c>
      <c r="BF26" s="5"/>
      <c r="BG26" s="8">
        <f t="shared" si="7"/>
        <v>50</v>
      </c>
      <c r="BH26" s="12">
        <f>BG26*(0.01*IF(D26="lab",SETTINGS!$F$26,SETTINGS!$F$32))</f>
        <v>0</v>
      </c>
      <c r="BI26" s="13">
        <f t="shared" si="9"/>
        <v>0</v>
      </c>
      <c r="BJ26" s="60"/>
    </row>
    <row r="27" spans="2:62" x14ac:dyDescent="0.25">
      <c r="B27" s="6">
        <v>21</v>
      </c>
      <c r="C27" s="76">
        <f>SETTINGS!C30</f>
        <v>0</v>
      </c>
      <c r="D27" s="81" t="s">
        <v>81</v>
      </c>
      <c r="E27" s="9"/>
      <c r="F27" s="5"/>
      <c r="G27" s="5"/>
      <c r="H27" s="5"/>
      <c r="I27" s="5"/>
      <c r="J27" s="8">
        <f t="shared" si="10"/>
        <v>0</v>
      </c>
      <c r="K27" s="8">
        <f t="shared" si="8"/>
        <v>50</v>
      </c>
      <c r="L27" s="12">
        <f>K27*(0.01*IF(D27="lab",SETTINGS!$F$22,SETTINGS!$F$29))</f>
        <v>0</v>
      </c>
      <c r="M27" s="9"/>
      <c r="N27" s="9"/>
      <c r="O27" s="9"/>
      <c r="P27" s="5"/>
      <c r="Q27" s="5"/>
      <c r="R27" s="8">
        <f t="shared" si="11"/>
        <v>0</v>
      </c>
      <c r="S27" s="11">
        <f t="shared" si="0"/>
        <v>50</v>
      </c>
      <c r="T27" s="12">
        <f>S27*(0.01*IF(D27="lab",SETTINGS!$F$23,SETTINGS!$F$30))</f>
        <v>0</v>
      </c>
      <c r="U27" s="9">
        <f>ATT!S26</f>
        <v>100</v>
      </c>
      <c r="V27" s="12">
        <f>U27*(0.01*IF(D27="lab",SETTINGS!$F$21,SETTINGS!$F$28))</f>
        <v>0</v>
      </c>
      <c r="W27" s="9">
        <v>100</v>
      </c>
      <c r="X27" s="12">
        <f>W27*(0.01*IF(D27="lab",SETTINGS!$F$24,SETTINGS!$F$31))</f>
        <v>0</v>
      </c>
      <c r="Y27" s="71">
        <v>0</v>
      </c>
      <c r="Z27" s="12" t="e">
        <f>Y27*(0.01*IF(#REF!="ONLINE", SETTINGS!$F$26, IF('MID-FINAL'!#REF!="BLENDED",SETTINGS!$F$34, IF('MID-FINAL'!#REF!="MODULAR",SETTINGS!$F$42))))</f>
        <v>#REF!</v>
      </c>
      <c r="AA27" s="82"/>
      <c r="AB27" s="83">
        <f t="shared" si="1"/>
        <v>50</v>
      </c>
      <c r="AC27" s="12">
        <f>AB27*(0.01*IF(D27="lab",SETTINGS!$F$25,"0"))</f>
        <v>0</v>
      </c>
      <c r="AD27" s="9"/>
      <c r="AE27" s="8">
        <f t="shared" si="2"/>
        <v>50</v>
      </c>
      <c r="AF27" s="12">
        <f>AE27*(0.01*IF(D27="lab",SETTINGS!$F$26,SETTINGS!$F$32))</f>
        <v>0</v>
      </c>
      <c r="AG27" s="13">
        <f t="shared" si="3"/>
        <v>0</v>
      </c>
      <c r="AI27" s="9"/>
      <c r="AJ27" s="5"/>
      <c r="AK27" s="5"/>
      <c r="AL27" s="5"/>
      <c r="AM27" s="5"/>
      <c r="AN27" s="8">
        <f t="shared" si="12"/>
        <v>0</v>
      </c>
      <c r="AO27" s="8">
        <f t="shared" si="4"/>
        <v>50</v>
      </c>
      <c r="AP27" s="12">
        <f>AO27*(0.01*IF(D27="lab",SETTINGS!$F$22,SETTINGS!$F$29))</f>
        <v>0</v>
      </c>
      <c r="AQ27" s="9"/>
      <c r="AR27" s="9"/>
      <c r="AS27" s="5"/>
      <c r="AT27" s="5"/>
      <c r="AU27" s="5"/>
      <c r="AV27" s="8">
        <f t="shared" si="13"/>
        <v>0</v>
      </c>
      <c r="AW27" s="8">
        <f t="shared" si="5"/>
        <v>50</v>
      </c>
      <c r="AX27" s="12">
        <f>AW27*(0.01*IF(D27="lab",SETTINGS!$F$23,SETTINGS!$F$30))</f>
        <v>0</v>
      </c>
      <c r="AY27" s="9">
        <f>ATT!AJ26</f>
        <v>100</v>
      </c>
      <c r="AZ27" s="12">
        <f>AY27*(0.01*IF(D27="lab",SETTINGS!$F$21,SETTINGS!$F$28))</f>
        <v>0</v>
      </c>
      <c r="BA27" s="9">
        <v>100</v>
      </c>
      <c r="BB27" s="12">
        <f>BA27*(0.01*IF(D27="lab",SETTINGS!$F$24,SETTINGS!$F$31))</f>
        <v>0</v>
      </c>
      <c r="BC27" s="71"/>
      <c r="BD27" s="8">
        <f t="shared" si="6"/>
        <v>50</v>
      </c>
      <c r="BE27" s="12">
        <f>BD27*(0.01*IF(D27="lab",SETTINGS!$F$25,"0"))</f>
        <v>0</v>
      </c>
      <c r="BF27" s="5"/>
      <c r="BG27" s="8">
        <f t="shared" si="7"/>
        <v>50</v>
      </c>
      <c r="BH27" s="12">
        <f>BG27*(0.01*IF(D27="lab",SETTINGS!$F$26,SETTINGS!$F$32))</f>
        <v>0</v>
      </c>
      <c r="BI27" s="13">
        <f t="shared" si="9"/>
        <v>0</v>
      </c>
      <c r="BJ27" s="60"/>
    </row>
    <row r="28" spans="2:62" x14ac:dyDescent="0.25">
      <c r="B28" s="6">
        <v>22</v>
      </c>
      <c r="C28" s="76">
        <f>SETTINGS!C31</f>
        <v>0</v>
      </c>
      <c r="D28" s="81" t="s">
        <v>81</v>
      </c>
      <c r="E28" s="9"/>
      <c r="F28" s="5"/>
      <c r="G28" s="5"/>
      <c r="H28" s="5"/>
      <c r="I28" s="5"/>
      <c r="J28" s="8">
        <f t="shared" si="10"/>
        <v>0</v>
      </c>
      <c r="K28" s="8">
        <f t="shared" si="8"/>
        <v>50</v>
      </c>
      <c r="L28" s="12">
        <f>K28*(0.01*IF(D28="lab",SETTINGS!$F$22,SETTINGS!$F$29))</f>
        <v>0</v>
      </c>
      <c r="M28" s="9"/>
      <c r="N28" s="9"/>
      <c r="O28" s="9"/>
      <c r="P28" s="5"/>
      <c r="Q28" s="5"/>
      <c r="R28" s="8">
        <f t="shared" si="11"/>
        <v>0</v>
      </c>
      <c r="S28" s="11">
        <f t="shared" si="0"/>
        <v>50</v>
      </c>
      <c r="T28" s="12">
        <f>S28*(0.01*IF(D28="lab",SETTINGS!$F$23,SETTINGS!$F$30))</f>
        <v>0</v>
      </c>
      <c r="U28" s="9">
        <f>ATT!S27</f>
        <v>100</v>
      </c>
      <c r="V28" s="12">
        <f>U28*(0.01*IF(D28="lab",SETTINGS!$F$21,SETTINGS!$F$28))</f>
        <v>0</v>
      </c>
      <c r="W28" s="9">
        <v>100</v>
      </c>
      <c r="X28" s="12">
        <f>W28*(0.01*IF(D28="lab",SETTINGS!$F$24,SETTINGS!$F$31))</f>
        <v>0</v>
      </c>
      <c r="Y28" s="71">
        <v>0</v>
      </c>
      <c r="Z28" s="12" t="e">
        <f>Y28*(0.01*IF(#REF!="ONLINE", SETTINGS!$F$26, IF('MID-FINAL'!#REF!="BLENDED",SETTINGS!$F$34, IF('MID-FINAL'!#REF!="MODULAR",SETTINGS!$F$42))))</f>
        <v>#REF!</v>
      </c>
      <c r="AA28" s="82"/>
      <c r="AB28" s="83">
        <f t="shared" si="1"/>
        <v>50</v>
      </c>
      <c r="AC28" s="12">
        <f>AB28*(0.01*IF(D28="lab",SETTINGS!$F$25,"0"))</f>
        <v>0</v>
      </c>
      <c r="AD28" s="9"/>
      <c r="AE28" s="8">
        <f t="shared" si="2"/>
        <v>50</v>
      </c>
      <c r="AF28" s="12">
        <f>AE28*(0.01*IF(D28="lab",SETTINGS!$F$26,SETTINGS!$F$32))</f>
        <v>0</v>
      </c>
      <c r="AG28" s="13">
        <f t="shared" si="3"/>
        <v>0</v>
      </c>
      <c r="AI28" s="9"/>
      <c r="AJ28" s="5"/>
      <c r="AK28" s="5"/>
      <c r="AL28" s="5"/>
      <c r="AM28" s="5"/>
      <c r="AN28" s="8">
        <f t="shared" si="12"/>
        <v>0</v>
      </c>
      <c r="AO28" s="8">
        <f t="shared" si="4"/>
        <v>50</v>
      </c>
      <c r="AP28" s="12">
        <f>AO28*(0.01*IF(D28="lab",SETTINGS!$F$22,SETTINGS!$F$29))</f>
        <v>0</v>
      </c>
      <c r="AQ28" s="9"/>
      <c r="AR28" s="9"/>
      <c r="AS28" s="5"/>
      <c r="AT28" s="5"/>
      <c r="AU28" s="5"/>
      <c r="AV28" s="8">
        <f t="shared" si="13"/>
        <v>0</v>
      </c>
      <c r="AW28" s="8">
        <f t="shared" si="5"/>
        <v>50</v>
      </c>
      <c r="AX28" s="12">
        <f>AW28*(0.01*IF(D28="lab",SETTINGS!$F$23,SETTINGS!$F$30))</f>
        <v>0</v>
      </c>
      <c r="AY28" s="9">
        <f>ATT!AJ27</f>
        <v>100</v>
      </c>
      <c r="AZ28" s="12">
        <f>AY28*(0.01*IF(D28="lab",SETTINGS!$F$21,SETTINGS!$F$28))</f>
        <v>0</v>
      </c>
      <c r="BA28" s="9">
        <v>100</v>
      </c>
      <c r="BB28" s="12">
        <f>BA28*(0.01*IF(D28="lab",SETTINGS!$F$24,SETTINGS!$F$31))</f>
        <v>0</v>
      </c>
      <c r="BC28" s="71"/>
      <c r="BD28" s="8">
        <f t="shared" si="6"/>
        <v>50</v>
      </c>
      <c r="BE28" s="12">
        <f>BD28*(0.01*IF(D28="lab",SETTINGS!$F$25,"0"))</f>
        <v>0</v>
      </c>
      <c r="BF28" s="5"/>
      <c r="BG28" s="8">
        <f t="shared" si="7"/>
        <v>50</v>
      </c>
      <c r="BH28" s="12">
        <f>BG28*(0.01*IF(D28="lab",SETTINGS!$F$26,SETTINGS!$F$32))</f>
        <v>0</v>
      </c>
      <c r="BI28" s="13">
        <f t="shared" si="9"/>
        <v>0</v>
      </c>
      <c r="BJ28" s="60"/>
    </row>
    <row r="29" spans="2:62" x14ac:dyDescent="0.25">
      <c r="B29" s="6">
        <v>23</v>
      </c>
      <c r="C29" s="76">
        <f>SETTINGS!C32</f>
        <v>0</v>
      </c>
      <c r="D29" s="81" t="s">
        <v>81</v>
      </c>
      <c r="E29" s="9"/>
      <c r="F29" s="5"/>
      <c r="G29" s="5"/>
      <c r="H29" s="5"/>
      <c r="I29" s="5"/>
      <c r="J29" s="8">
        <f t="shared" si="10"/>
        <v>0</v>
      </c>
      <c r="K29" s="8">
        <f t="shared" si="8"/>
        <v>50</v>
      </c>
      <c r="L29" s="12">
        <f>K29*(0.01*IF(D29="lab",SETTINGS!$F$22,SETTINGS!$F$29))</f>
        <v>0</v>
      </c>
      <c r="M29" s="9"/>
      <c r="N29" s="9"/>
      <c r="O29" s="9"/>
      <c r="P29" s="5"/>
      <c r="Q29" s="5"/>
      <c r="R29" s="8">
        <f t="shared" si="11"/>
        <v>0</v>
      </c>
      <c r="S29" s="11">
        <f t="shared" si="0"/>
        <v>50</v>
      </c>
      <c r="T29" s="12">
        <f>S29*(0.01*IF(D29="lab",SETTINGS!$F$23,SETTINGS!$F$30))</f>
        <v>0</v>
      </c>
      <c r="U29" s="9">
        <f>ATT!S28</f>
        <v>100</v>
      </c>
      <c r="V29" s="12">
        <f>U29*(0.01*IF(D29="lab",SETTINGS!$F$21,SETTINGS!$F$28))</f>
        <v>0</v>
      </c>
      <c r="W29" s="9">
        <v>100</v>
      </c>
      <c r="X29" s="12">
        <f>W29*(0.01*IF(D29="lab",SETTINGS!$F$24,SETTINGS!$F$31))</f>
        <v>0</v>
      </c>
      <c r="Y29" s="71">
        <v>0</v>
      </c>
      <c r="Z29" s="12" t="e">
        <f>Y29*(0.01*IF(#REF!="ONLINE", SETTINGS!$F$26, IF('MID-FINAL'!#REF!="BLENDED",SETTINGS!$F$34, IF('MID-FINAL'!#REF!="MODULAR",SETTINGS!$F$42))))</f>
        <v>#REF!</v>
      </c>
      <c r="AA29" s="82"/>
      <c r="AB29" s="83">
        <f t="shared" si="1"/>
        <v>50</v>
      </c>
      <c r="AC29" s="12">
        <f>AB29*(0.01*IF(D29="lab",SETTINGS!$F$25,"0"))</f>
        <v>0</v>
      </c>
      <c r="AD29" s="9"/>
      <c r="AE29" s="8">
        <f t="shared" si="2"/>
        <v>50</v>
      </c>
      <c r="AF29" s="12">
        <f>AE29*(0.01*IF(D29="lab",SETTINGS!$F$26,SETTINGS!$F$32))</f>
        <v>0</v>
      </c>
      <c r="AG29" s="13">
        <f t="shared" si="3"/>
        <v>0</v>
      </c>
      <c r="AI29" s="9"/>
      <c r="AJ29" s="5"/>
      <c r="AK29" s="5"/>
      <c r="AL29" s="5"/>
      <c r="AM29" s="5"/>
      <c r="AN29" s="8">
        <f t="shared" si="12"/>
        <v>0</v>
      </c>
      <c r="AO29" s="8">
        <f t="shared" si="4"/>
        <v>50</v>
      </c>
      <c r="AP29" s="12">
        <f>AO29*(0.01*IF(D29="lab",SETTINGS!$F$22,SETTINGS!$F$29))</f>
        <v>0</v>
      </c>
      <c r="AQ29" s="9"/>
      <c r="AR29" s="9"/>
      <c r="AS29" s="5"/>
      <c r="AT29" s="5"/>
      <c r="AU29" s="5"/>
      <c r="AV29" s="8">
        <f t="shared" si="13"/>
        <v>0</v>
      </c>
      <c r="AW29" s="8">
        <f t="shared" si="5"/>
        <v>50</v>
      </c>
      <c r="AX29" s="12">
        <f>AW29*(0.01*IF(D29="lab",SETTINGS!$F$23,SETTINGS!$F$30))</f>
        <v>0</v>
      </c>
      <c r="AY29" s="9">
        <f>ATT!AJ28</f>
        <v>100</v>
      </c>
      <c r="AZ29" s="12">
        <f>AY29*(0.01*IF(D29="lab",SETTINGS!$F$21,SETTINGS!$F$28))</f>
        <v>0</v>
      </c>
      <c r="BA29" s="9">
        <v>100</v>
      </c>
      <c r="BB29" s="12">
        <f>BA29*(0.01*IF(D29="lab",SETTINGS!$F$24,SETTINGS!$F$31))</f>
        <v>0</v>
      </c>
      <c r="BC29" s="71"/>
      <c r="BD29" s="8">
        <f t="shared" si="6"/>
        <v>50</v>
      </c>
      <c r="BE29" s="12">
        <f>BD29*(0.01*IF(D29="lab",SETTINGS!$F$25,"0"))</f>
        <v>0</v>
      </c>
      <c r="BF29" s="5"/>
      <c r="BG29" s="8">
        <f t="shared" si="7"/>
        <v>50</v>
      </c>
      <c r="BH29" s="12">
        <f>BG29*(0.01*IF(D29="lab",SETTINGS!$F$26,SETTINGS!$F$32))</f>
        <v>0</v>
      </c>
      <c r="BI29" s="13">
        <f t="shared" si="9"/>
        <v>0</v>
      </c>
      <c r="BJ29" s="60"/>
    </row>
    <row r="30" spans="2:62" x14ac:dyDescent="0.25">
      <c r="B30" s="6">
        <v>24</v>
      </c>
      <c r="C30" s="76">
        <f>SETTINGS!C33</f>
        <v>0</v>
      </c>
      <c r="D30" s="81" t="s">
        <v>81</v>
      </c>
      <c r="E30" s="9"/>
      <c r="F30" s="5"/>
      <c r="G30" s="5"/>
      <c r="H30" s="5"/>
      <c r="I30" s="5"/>
      <c r="J30" s="8">
        <f t="shared" si="10"/>
        <v>0</v>
      </c>
      <c r="K30" s="8">
        <f t="shared" si="8"/>
        <v>50</v>
      </c>
      <c r="L30" s="12">
        <f>K30*(0.01*IF(D30="lab",SETTINGS!$F$22,SETTINGS!$F$29))</f>
        <v>0</v>
      </c>
      <c r="M30" s="9"/>
      <c r="N30" s="9"/>
      <c r="O30" s="9"/>
      <c r="P30" s="5"/>
      <c r="Q30" s="5"/>
      <c r="R30" s="8">
        <f t="shared" si="11"/>
        <v>0</v>
      </c>
      <c r="S30" s="11">
        <f t="shared" si="0"/>
        <v>50</v>
      </c>
      <c r="T30" s="12">
        <f>S30*(0.01*IF(D30="lab",SETTINGS!$F$23,SETTINGS!$F$30))</f>
        <v>0</v>
      </c>
      <c r="U30" s="9">
        <f>ATT!S29</f>
        <v>100</v>
      </c>
      <c r="V30" s="12">
        <f>U30*(0.01*IF(D30="lab",SETTINGS!$F$21,SETTINGS!$F$28))</f>
        <v>0</v>
      </c>
      <c r="W30" s="9">
        <v>100</v>
      </c>
      <c r="X30" s="12">
        <f>W30*(0.01*IF(D30="lab",SETTINGS!$F$24,SETTINGS!$F$31))</f>
        <v>0</v>
      </c>
      <c r="Y30" s="71">
        <v>0</v>
      </c>
      <c r="Z30" s="12" t="e">
        <f>Y30*(0.01*IF(#REF!="ONLINE", SETTINGS!$F$26, IF('MID-FINAL'!#REF!="BLENDED",SETTINGS!$F$34, IF('MID-FINAL'!#REF!="MODULAR",SETTINGS!$F$42))))</f>
        <v>#REF!</v>
      </c>
      <c r="AA30" s="82"/>
      <c r="AB30" s="83">
        <f t="shared" si="1"/>
        <v>50</v>
      </c>
      <c r="AC30" s="12">
        <f>AB30*(0.01*IF(D30="lab",SETTINGS!$F$25,"0"))</f>
        <v>0</v>
      </c>
      <c r="AD30" s="9"/>
      <c r="AE30" s="8">
        <f t="shared" si="2"/>
        <v>50</v>
      </c>
      <c r="AF30" s="12">
        <f>AE30*(0.01*IF(D30="lab",SETTINGS!$F$26,SETTINGS!$F$32))</f>
        <v>0</v>
      </c>
      <c r="AG30" s="13">
        <f t="shared" si="3"/>
        <v>0</v>
      </c>
      <c r="AI30" s="9"/>
      <c r="AJ30" s="5"/>
      <c r="AK30" s="5"/>
      <c r="AL30" s="5"/>
      <c r="AM30" s="5"/>
      <c r="AN30" s="8">
        <f t="shared" si="12"/>
        <v>0</v>
      </c>
      <c r="AO30" s="8">
        <f t="shared" si="4"/>
        <v>50</v>
      </c>
      <c r="AP30" s="12">
        <f>AO30*(0.01*IF(D30="lab",SETTINGS!$F$22,SETTINGS!$F$29))</f>
        <v>0</v>
      </c>
      <c r="AQ30" s="9"/>
      <c r="AR30" s="9"/>
      <c r="AS30" s="5"/>
      <c r="AT30" s="5"/>
      <c r="AU30" s="5"/>
      <c r="AV30" s="8">
        <f t="shared" si="13"/>
        <v>0</v>
      </c>
      <c r="AW30" s="8">
        <f t="shared" si="5"/>
        <v>50</v>
      </c>
      <c r="AX30" s="12">
        <f>AW30*(0.01*IF(D30="lab",SETTINGS!$F$23,SETTINGS!$F$30))</f>
        <v>0</v>
      </c>
      <c r="AY30" s="9">
        <f>ATT!AJ29</f>
        <v>100</v>
      </c>
      <c r="AZ30" s="12">
        <f>AY30*(0.01*IF(D30="lab",SETTINGS!$F$21,SETTINGS!$F$28))</f>
        <v>0</v>
      </c>
      <c r="BA30" s="9">
        <v>100</v>
      </c>
      <c r="BB30" s="12">
        <f>BA30*(0.01*IF(D30="lab",SETTINGS!$F$24,SETTINGS!$F$31))</f>
        <v>0</v>
      </c>
      <c r="BC30" s="71"/>
      <c r="BD30" s="8">
        <f t="shared" si="6"/>
        <v>50</v>
      </c>
      <c r="BE30" s="12">
        <f>BD30*(0.01*IF(D30="lab",SETTINGS!$F$25,"0"))</f>
        <v>0</v>
      </c>
      <c r="BF30" s="5"/>
      <c r="BG30" s="8">
        <f t="shared" si="7"/>
        <v>50</v>
      </c>
      <c r="BH30" s="12">
        <f>BG30*(0.01*IF(D30="lab",SETTINGS!$F$26,SETTINGS!$F$32))</f>
        <v>0</v>
      </c>
      <c r="BI30" s="13">
        <f t="shared" si="9"/>
        <v>0</v>
      </c>
      <c r="BJ30" s="60"/>
    </row>
    <row r="31" spans="2:62" x14ac:dyDescent="0.25">
      <c r="B31" s="6">
        <v>25</v>
      </c>
      <c r="C31" s="76">
        <f>SETTINGS!C34</f>
        <v>0</v>
      </c>
      <c r="D31" s="81" t="s">
        <v>81</v>
      </c>
      <c r="E31" s="9"/>
      <c r="F31" s="5"/>
      <c r="G31" s="5"/>
      <c r="H31" s="5"/>
      <c r="I31" s="5"/>
      <c r="J31" s="8">
        <f t="shared" si="10"/>
        <v>0</v>
      </c>
      <c r="K31" s="8">
        <f t="shared" si="8"/>
        <v>50</v>
      </c>
      <c r="L31" s="12">
        <f>K31*(0.01*IF(D31="lab",SETTINGS!$F$22,SETTINGS!$F$29))</f>
        <v>0</v>
      </c>
      <c r="M31" s="9"/>
      <c r="N31" s="9"/>
      <c r="O31" s="9"/>
      <c r="P31" s="5"/>
      <c r="Q31" s="5"/>
      <c r="R31" s="8">
        <f t="shared" si="11"/>
        <v>0</v>
      </c>
      <c r="S31" s="11">
        <f t="shared" si="0"/>
        <v>50</v>
      </c>
      <c r="T31" s="12">
        <f>S31*(0.01*IF(D31="lab",SETTINGS!$F$23,SETTINGS!$F$30))</f>
        <v>0</v>
      </c>
      <c r="U31" s="9">
        <f>ATT!S30</f>
        <v>100</v>
      </c>
      <c r="V31" s="12">
        <f>U31*(0.01*IF(D31="lab",SETTINGS!$F$21,SETTINGS!$F$28))</f>
        <v>0</v>
      </c>
      <c r="W31" s="9">
        <v>100</v>
      </c>
      <c r="X31" s="12">
        <f>W31*(0.01*IF(D31="lab",SETTINGS!$F$24,SETTINGS!$F$31))</f>
        <v>0</v>
      </c>
      <c r="Y31" s="71">
        <v>0</v>
      </c>
      <c r="Z31" s="12" t="e">
        <f>Y31*(0.01*IF(#REF!="ONLINE", SETTINGS!$F$26, IF('MID-FINAL'!#REF!="BLENDED",SETTINGS!$F$34, IF('MID-FINAL'!#REF!="MODULAR",SETTINGS!$F$42))))</f>
        <v>#REF!</v>
      </c>
      <c r="AA31" s="82"/>
      <c r="AB31" s="83">
        <f t="shared" si="1"/>
        <v>50</v>
      </c>
      <c r="AC31" s="12">
        <f>AB31*(0.01*IF(D31="lab",SETTINGS!$F$25,"0"))</f>
        <v>0</v>
      </c>
      <c r="AD31" s="9"/>
      <c r="AE31" s="8">
        <f t="shared" si="2"/>
        <v>50</v>
      </c>
      <c r="AF31" s="12">
        <f>AE31*(0.01*IF(D31="lab",SETTINGS!$F$26,SETTINGS!$F$32))</f>
        <v>0</v>
      </c>
      <c r="AG31" s="13">
        <f t="shared" si="3"/>
        <v>0</v>
      </c>
      <c r="AI31" s="9"/>
      <c r="AJ31" s="5"/>
      <c r="AK31" s="5"/>
      <c r="AL31" s="5"/>
      <c r="AM31" s="5"/>
      <c r="AN31" s="8">
        <f t="shared" si="12"/>
        <v>0</v>
      </c>
      <c r="AO31" s="8">
        <f t="shared" si="4"/>
        <v>50</v>
      </c>
      <c r="AP31" s="12">
        <f>AO31*(0.01*IF(D31="lab",SETTINGS!$F$22,SETTINGS!$F$29))</f>
        <v>0</v>
      </c>
      <c r="AQ31" s="9"/>
      <c r="AR31" s="9"/>
      <c r="AS31" s="5"/>
      <c r="AT31" s="5"/>
      <c r="AU31" s="5"/>
      <c r="AV31" s="8">
        <f t="shared" si="13"/>
        <v>0</v>
      </c>
      <c r="AW31" s="8">
        <f t="shared" si="5"/>
        <v>50</v>
      </c>
      <c r="AX31" s="12">
        <f>AW31*(0.01*IF(D31="lab",SETTINGS!$F$23,SETTINGS!$F$30))</f>
        <v>0</v>
      </c>
      <c r="AY31" s="9">
        <f>ATT!AJ30</f>
        <v>100</v>
      </c>
      <c r="AZ31" s="12">
        <f>AY31*(0.01*IF(D31="lab",SETTINGS!$F$21,SETTINGS!$F$28))</f>
        <v>0</v>
      </c>
      <c r="BA31" s="9">
        <v>100</v>
      </c>
      <c r="BB31" s="12">
        <f>BA31*(0.01*IF(D31="lab",SETTINGS!$F$24,SETTINGS!$F$31))</f>
        <v>0</v>
      </c>
      <c r="BC31" s="71"/>
      <c r="BD31" s="8">
        <f t="shared" si="6"/>
        <v>50</v>
      </c>
      <c r="BE31" s="12">
        <f>BD31*(0.01*IF(D31="lab",SETTINGS!$F$25,"0"))</f>
        <v>0</v>
      </c>
      <c r="BF31" s="5"/>
      <c r="BG31" s="8">
        <f t="shared" si="7"/>
        <v>50</v>
      </c>
      <c r="BH31" s="12">
        <f>BG31*(0.01*IF(D31="lab",SETTINGS!$F$26,SETTINGS!$F$32))</f>
        <v>0</v>
      </c>
      <c r="BI31" s="13">
        <f t="shared" si="9"/>
        <v>0</v>
      </c>
      <c r="BJ31" s="60"/>
    </row>
    <row r="32" spans="2:62" x14ac:dyDescent="0.25">
      <c r="B32" s="6">
        <v>26</v>
      </c>
      <c r="C32" s="76">
        <f>SETTINGS!C35</f>
        <v>0</v>
      </c>
      <c r="D32" s="81" t="s">
        <v>81</v>
      </c>
      <c r="E32" s="9"/>
      <c r="F32" s="5"/>
      <c r="G32" s="5"/>
      <c r="H32" s="5"/>
      <c r="I32" s="5"/>
      <c r="J32" s="8">
        <f t="shared" si="10"/>
        <v>0</v>
      </c>
      <c r="K32" s="8">
        <f t="shared" si="8"/>
        <v>50</v>
      </c>
      <c r="L32" s="12">
        <f>K32*(0.01*IF(D32="lab",SETTINGS!$F$22,SETTINGS!$F$29))</f>
        <v>0</v>
      </c>
      <c r="M32" s="9"/>
      <c r="N32" s="9"/>
      <c r="O32" s="9"/>
      <c r="P32" s="5"/>
      <c r="Q32" s="5"/>
      <c r="R32" s="8">
        <f t="shared" si="11"/>
        <v>0</v>
      </c>
      <c r="S32" s="11">
        <f t="shared" si="0"/>
        <v>50</v>
      </c>
      <c r="T32" s="12">
        <f>S32*(0.01*IF(D32="lab",SETTINGS!$F$23,SETTINGS!$F$30))</f>
        <v>0</v>
      </c>
      <c r="U32" s="9">
        <f>ATT!S31</f>
        <v>100</v>
      </c>
      <c r="V32" s="12">
        <f>U32*(0.01*IF(D32="lab",SETTINGS!$F$21,SETTINGS!$F$28))</f>
        <v>0</v>
      </c>
      <c r="W32" s="9">
        <v>100</v>
      </c>
      <c r="X32" s="12">
        <f>W32*(0.01*IF(D32="lab",SETTINGS!$F$24,SETTINGS!$F$31))</f>
        <v>0</v>
      </c>
      <c r="Y32" s="71">
        <v>0</v>
      </c>
      <c r="Z32" s="12" t="e">
        <f>Y32*(0.01*IF(#REF!="ONLINE", SETTINGS!$F$26, IF('MID-FINAL'!#REF!="BLENDED",SETTINGS!$F$34, IF('MID-FINAL'!#REF!="MODULAR",SETTINGS!$F$42))))</f>
        <v>#REF!</v>
      </c>
      <c r="AA32" s="82"/>
      <c r="AB32" s="83">
        <f t="shared" si="1"/>
        <v>50</v>
      </c>
      <c r="AC32" s="12">
        <f>AB32*(0.01*IF(D32="lab",SETTINGS!$F$25,"0"))</f>
        <v>0</v>
      </c>
      <c r="AD32" s="9"/>
      <c r="AE32" s="8">
        <f t="shared" si="2"/>
        <v>50</v>
      </c>
      <c r="AF32" s="12">
        <f>AE32*(0.01*IF(D32="lab",SETTINGS!$F$26,SETTINGS!$F$32))</f>
        <v>0</v>
      </c>
      <c r="AG32" s="13">
        <f t="shared" si="3"/>
        <v>0</v>
      </c>
      <c r="AI32" s="9"/>
      <c r="AJ32" s="5"/>
      <c r="AK32" s="5"/>
      <c r="AL32" s="5"/>
      <c r="AM32" s="5"/>
      <c r="AN32" s="8">
        <f t="shared" si="12"/>
        <v>0</v>
      </c>
      <c r="AO32" s="8">
        <f t="shared" si="4"/>
        <v>50</v>
      </c>
      <c r="AP32" s="12">
        <f>AO32*(0.01*IF(D32="lab",SETTINGS!$F$22,SETTINGS!$F$29))</f>
        <v>0</v>
      </c>
      <c r="AQ32" s="9"/>
      <c r="AR32" s="9"/>
      <c r="AS32" s="5"/>
      <c r="AT32" s="5"/>
      <c r="AU32" s="5"/>
      <c r="AV32" s="8">
        <f t="shared" si="13"/>
        <v>0</v>
      </c>
      <c r="AW32" s="8">
        <f t="shared" si="5"/>
        <v>50</v>
      </c>
      <c r="AX32" s="12">
        <f>AW32*(0.01*IF(D32="lab",SETTINGS!$F$23,SETTINGS!$F$30))</f>
        <v>0</v>
      </c>
      <c r="AY32" s="9">
        <f>ATT!AJ31</f>
        <v>100</v>
      </c>
      <c r="AZ32" s="12">
        <f>AY32*(0.01*IF(D32="lab",SETTINGS!$F$21,SETTINGS!$F$28))</f>
        <v>0</v>
      </c>
      <c r="BA32" s="9">
        <v>100</v>
      </c>
      <c r="BB32" s="12">
        <f>BA32*(0.01*IF(D32="lab",SETTINGS!$F$24,SETTINGS!$F$31))</f>
        <v>0</v>
      </c>
      <c r="BC32" s="71"/>
      <c r="BD32" s="8">
        <f t="shared" si="6"/>
        <v>50</v>
      </c>
      <c r="BE32" s="12">
        <f>BD32*(0.01*IF(D32="lab",SETTINGS!$F$25,"0"))</f>
        <v>0</v>
      </c>
      <c r="BF32" s="5"/>
      <c r="BG32" s="8">
        <f t="shared" si="7"/>
        <v>50</v>
      </c>
      <c r="BH32" s="12">
        <f>BG32*(0.01*IF(D32="lab",SETTINGS!$F$26,SETTINGS!$F$32))</f>
        <v>0</v>
      </c>
      <c r="BI32" s="13">
        <f t="shared" si="9"/>
        <v>0</v>
      </c>
      <c r="BJ32" s="60"/>
    </row>
    <row r="33" spans="2:62" x14ac:dyDescent="0.25">
      <c r="B33" s="6">
        <v>27</v>
      </c>
      <c r="C33" s="76">
        <f>SETTINGS!C36</f>
        <v>0</v>
      </c>
      <c r="D33" s="81" t="s">
        <v>81</v>
      </c>
      <c r="E33" s="9"/>
      <c r="F33" s="5"/>
      <c r="G33" s="5"/>
      <c r="H33" s="5"/>
      <c r="I33" s="5"/>
      <c r="J33" s="8">
        <f t="shared" si="10"/>
        <v>0</v>
      </c>
      <c r="K33" s="8">
        <f t="shared" si="8"/>
        <v>50</v>
      </c>
      <c r="L33" s="12">
        <f>K33*(0.01*IF(D33="lab",SETTINGS!$F$22,SETTINGS!$F$29))</f>
        <v>0</v>
      </c>
      <c r="M33" s="9"/>
      <c r="N33" s="9"/>
      <c r="O33" s="9"/>
      <c r="P33" s="5"/>
      <c r="Q33" s="5"/>
      <c r="R33" s="8">
        <f t="shared" si="11"/>
        <v>0</v>
      </c>
      <c r="S33" s="11">
        <f t="shared" si="0"/>
        <v>50</v>
      </c>
      <c r="T33" s="12">
        <f>S33*(0.01*IF(D33="lab",SETTINGS!$F$23,SETTINGS!$F$30))</f>
        <v>0</v>
      </c>
      <c r="U33" s="9">
        <f>ATT!S32</f>
        <v>100</v>
      </c>
      <c r="V33" s="12">
        <f>U33*(0.01*IF(D33="lab",SETTINGS!$F$21,SETTINGS!$F$28))</f>
        <v>0</v>
      </c>
      <c r="W33" s="9">
        <v>100</v>
      </c>
      <c r="X33" s="12">
        <f>W33*(0.01*IF(D33="lab",SETTINGS!$F$24,SETTINGS!$F$31))</f>
        <v>0</v>
      </c>
      <c r="Y33" s="71">
        <v>0</v>
      </c>
      <c r="Z33" s="12" t="e">
        <f>Y33*(0.01*IF(#REF!="ONLINE", SETTINGS!$F$26, IF('MID-FINAL'!#REF!="BLENDED",SETTINGS!$F$34, IF('MID-FINAL'!#REF!="MODULAR",SETTINGS!$F$42))))</f>
        <v>#REF!</v>
      </c>
      <c r="AA33" s="82"/>
      <c r="AB33" s="83">
        <f t="shared" si="1"/>
        <v>50</v>
      </c>
      <c r="AC33" s="12">
        <f>AB33*(0.01*IF(D33="lab",SETTINGS!$F$25,"0"))</f>
        <v>0</v>
      </c>
      <c r="AD33" s="9"/>
      <c r="AE33" s="8">
        <f t="shared" si="2"/>
        <v>50</v>
      </c>
      <c r="AF33" s="12">
        <f>AE33*(0.01*IF(D33="lab",SETTINGS!$F$26,SETTINGS!$F$32))</f>
        <v>0</v>
      </c>
      <c r="AG33" s="13">
        <f t="shared" si="3"/>
        <v>0</v>
      </c>
      <c r="AI33" s="9"/>
      <c r="AJ33" s="5"/>
      <c r="AK33" s="5"/>
      <c r="AL33" s="5"/>
      <c r="AM33" s="5"/>
      <c r="AN33" s="8">
        <f t="shared" si="12"/>
        <v>0</v>
      </c>
      <c r="AO33" s="8">
        <f t="shared" si="4"/>
        <v>50</v>
      </c>
      <c r="AP33" s="12">
        <f>AO33*(0.01*IF(D33="lab",SETTINGS!$F$22,SETTINGS!$F$29))</f>
        <v>0</v>
      </c>
      <c r="AQ33" s="9"/>
      <c r="AR33" s="9"/>
      <c r="AS33" s="5"/>
      <c r="AT33" s="5"/>
      <c r="AU33" s="5"/>
      <c r="AV33" s="8">
        <f t="shared" si="13"/>
        <v>0</v>
      </c>
      <c r="AW33" s="8">
        <f t="shared" si="5"/>
        <v>50</v>
      </c>
      <c r="AX33" s="12">
        <f>AW33*(0.01*IF(D33="lab",SETTINGS!$F$23,SETTINGS!$F$30))</f>
        <v>0</v>
      </c>
      <c r="AY33" s="9">
        <f>ATT!AJ32</f>
        <v>100</v>
      </c>
      <c r="AZ33" s="12">
        <f>AY33*(0.01*IF(D33="lab",SETTINGS!$F$21,SETTINGS!$F$28))</f>
        <v>0</v>
      </c>
      <c r="BA33" s="9">
        <v>100</v>
      </c>
      <c r="BB33" s="12">
        <f>BA33*(0.01*IF(D33="lab",SETTINGS!$F$24,SETTINGS!$F$31))</f>
        <v>0</v>
      </c>
      <c r="BC33" s="71"/>
      <c r="BD33" s="8">
        <f t="shared" si="6"/>
        <v>50</v>
      </c>
      <c r="BE33" s="12">
        <f>BD33*(0.01*IF(D33="lab",SETTINGS!$F$25,"0"))</f>
        <v>0</v>
      </c>
      <c r="BF33" s="5"/>
      <c r="BG33" s="8">
        <f t="shared" si="7"/>
        <v>50</v>
      </c>
      <c r="BH33" s="12">
        <f>BG33*(0.01*IF(D33="lab",SETTINGS!$F$26,SETTINGS!$F$32))</f>
        <v>0</v>
      </c>
      <c r="BI33" s="13">
        <f t="shared" si="9"/>
        <v>0</v>
      </c>
      <c r="BJ33" s="60"/>
    </row>
    <row r="34" spans="2:62" x14ac:dyDescent="0.25">
      <c r="B34" s="6">
        <v>28</v>
      </c>
      <c r="C34" s="76">
        <f>SETTINGS!C37</f>
        <v>0</v>
      </c>
      <c r="D34" s="81" t="s">
        <v>81</v>
      </c>
      <c r="E34" s="9"/>
      <c r="F34" s="5"/>
      <c r="G34" s="5"/>
      <c r="H34" s="5"/>
      <c r="I34" s="5"/>
      <c r="J34" s="8">
        <f t="shared" si="10"/>
        <v>0</v>
      </c>
      <c r="K34" s="8">
        <f t="shared" si="8"/>
        <v>50</v>
      </c>
      <c r="L34" s="12">
        <f>K34*(0.01*IF(D34="lab",SETTINGS!$F$22,SETTINGS!$F$29))</f>
        <v>0</v>
      </c>
      <c r="M34" s="9"/>
      <c r="N34" s="9"/>
      <c r="O34" s="9"/>
      <c r="P34" s="5"/>
      <c r="Q34" s="5"/>
      <c r="R34" s="8">
        <f t="shared" si="11"/>
        <v>0</v>
      </c>
      <c r="S34" s="11">
        <f t="shared" si="0"/>
        <v>50</v>
      </c>
      <c r="T34" s="12">
        <f>S34*(0.01*IF(D34="lab",SETTINGS!$F$23,SETTINGS!$F$30))</f>
        <v>0</v>
      </c>
      <c r="U34" s="9">
        <f>ATT!S33</f>
        <v>100</v>
      </c>
      <c r="V34" s="12">
        <f>U34*(0.01*IF(D34="lab",SETTINGS!$F$21,SETTINGS!$F$28))</f>
        <v>0</v>
      </c>
      <c r="W34" s="9">
        <v>100</v>
      </c>
      <c r="X34" s="12">
        <f>W34*(0.01*IF(D34="lab",SETTINGS!$F$24,SETTINGS!$F$31))</f>
        <v>0</v>
      </c>
      <c r="Y34" s="71">
        <v>0</v>
      </c>
      <c r="Z34" s="12" t="e">
        <f>Y34*(0.01*IF(#REF!="ONLINE", SETTINGS!$F$26, IF('MID-FINAL'!#REF!="BLENDED",SETTINGS!$F$34, IF('MID-FINAL'!#REF!="MODULAR",SETTINGS!$F$42))))</f>
        <v>#REF!</v>
      </c>
      <c r="AA34" s="82"/>
      <c r="AB34" s="83">
        <f t="shared" si="1"/>
        <v>50</v>
      </c>
      <c r="AC34" s="12">
        <f>AB34*(0.01*IF(D34="lab",SETTINGS!$F$25,"0"))</f>
        <v>0</v>
      </c>
      <c r="AD34" s="9"/>
      <c r="AE34" s="8">
        <f t="shared" si="2"/>
        <v>50</v>
      </c>
      <c r="AF34" s="12">
        <f>AE34*(0.01*IF(D34="lab",SETTINGS!$F$26,SETTINGS!$F$32))</f>
        <v>0</v>
      </c>
      <c r="AG34" s="13">
        <f t="shared" si="3"/>
        <v>0</v>
      </c>
      <c r="AI34" s="9"/>
      <c r="AJ34" s="5"/>
      <c r="AK34" s="5"/>
      <c r="AL34" s="5"/>
      <c r="AM34" s="5"/>
      <c r="AN34" s="8">
        <f t="shared" si="12"/>
        <v>0</v>
      </c>
      <c r="AO34" s="8">
        <f t="shared" si="4"/>
        <v>50</v>
      </c>
      <c r="AP34" s="12">
        <f>AO34*(0.01*IF(D34="lab",SETTINGS!$F$22,SETTINGS!$F$29))</f>
        <v>0</v>
      </c>
      <c r="AQ34" s="9"/>
      <c r="AR34" s="9"/>
      <c r="AS34" s="5"/>
      <c r="AT34" s="5"/>
      <c r="AU34" s="5"/>
      <c r="AV34" s="8">
        <f t="shared" si="13"/>
        <v>0</v>
      </c>
      <c r="AW34" s="8">
        <f t="shared" si="5"/>
        <v>50</v>
      </c>
      <c r="AX34" s="12">
        <f>AW34*(0.01*IF(D34="lab",SETTINGS!$F$23,SETTINGS!$F$30))</f>
        <v>0</v>
      </c>
      <c r="AY34" s="9">
        <f>ATT!AJ33</f>
        <v>100</v>
      </c>
      <c r="AZ34" s="12">
        <f>AY34*(0.01*IF(D34="lab",SETTINGS!$F$21,SETTINGS!$F$28))</f>
        <v>0</v>
      </c>
      <c r="BA34" s="9">
        <v>100</v>
      </c>
      <c r="BB34" s="12">
        <f>BA34*(0.01*IF(D34="lab",SETTINGS!$F$24,SETTINGS!$F$31))</f>
        <v>0</v>
      </c>
      <c r="BC34" s="71"/>
      <c r="BD34" s="8">
        <f t="shared" si="6"/>
        <v>50</v>
      </c>
      <c r="BE34" s="12">
        <f>BD34*(0.01*IF(D34="lab",SETTINGS!$F$25,"0"))</f>
        <v>0</v>
      </c>
      <c r="BF34" s="5"/>
      <c r="BG34" s="8">
        <f t="shared" si="7"/>
        <v>50</v>
      </c>
      <c r="BH34" s="12">
        <f>BG34*(0.01*IF(D34="lab",SETTINGS!$F$26,SETTINGS!$F$32))</f>
        <v>0</v>
      </c>
      <c r="BI34" s="13">
        <f t="shared" si="9"/>
        <v>0</v>
      </c>
      <c r="BJ34" s="60"/>
    </row>
    <row r="35" spans="2:62" x14ac:dyDescent="0.25">
      <c r="B35" s="6">
        <v>29</v>
      </c>
      <c r="C35" s="76">
        <f>SETTINGS!C38</f>
        <v>0</v>
      </c>
      <c r="D35" s="81" t="s">
        <v>81</v>
      </c>
      <c r="E35" s="9"/>
      <c r="F35" s="5"/>
      <c r="G35" s="5"/>
      <c r="H35" s="5"/>
      <c r="I35" s="5"/>
      <c r="J35" s="8">
        <f t="shared" si="10"/>
        <v>0</v>
      </c>
      <c r="K35" s="8">
        <f t="shared" si="8"/>
        <v>50</v>
      </c>
      <c r="L35" s="12">
        <f>K35*(0.01*IF(D35="lab",SETTINGS!$F$22,SETTINGS!$F$29))</f>
        <v>0</v>
      </c>
      <c r="M35" s="9"/>
      <c r="N35" s="9"/>
      <c r="O35" s="9"/>
      <c r="P35" s="5"/>
      <c r="Q35" s="5"/>
      <c r="R35" s="8">
        <f t="shared" si="11"/>
        <v>0</v>
      </c>
      <c r="S35" s="11">
        <f t="shared" si="0"/>
        <v>50</v>
      </c>
      <c r="T35" s="12">
        <f>S35*(0.01*IF(D35="lab",SETTINGS!$F$23,SETTINGS!$F$30))</f>
        <v>0</v>
      </c>
      <c r="U35" s="9">
        <f>ATT!S34</f>
        <v>100</v>
      </c>
      <c r="V35" s="12">
        <f>U35*(0.01*IF(D35="lab",SETTINGS!$F$21,SETTINGS!$F$28))</f>
        <v>0</v>
      </c>
      <c r="W35" s="9">
        <v>100</v>
      </c>
      <c r="X35" s="12">
        <f>W35*(0.01*IF(D35="lab",SETTINGS!$F$24,SETTINGS!$F$31))</f>
        <v>0</v>
      </c>
      <c r="Y35" s="71">
        <v>0</v>
      </c>
      <c r="Z35" s="12" t="e">
        <f>Y35*(0.01*IF(#REF!="ONLINE", SETTINGS!$F$26, IF('MID-FINAL'!#REF!="BLENDED",SETTINGS!$F$34, IF('MID-FINAL'!#REF!="MODULAR",SETTINGS!$F$42))))</f>
        <v>#REF!</v>
      </c>
      <c r="AA35" s="82"/>
      <c r="AB35" s="83">
        <f t="shared" si="1"/>
        <v>50</v>
      </c>
      <c r="AC35" s="12">
        <f>AB35*(0.01*IF(D35="lab",SETTINGS!$F$25,"0"))</f>
        <v>0</v>
      </c>
      <c r="AD35" s="9"/>
      <c r="AE35" s="8">
        <f t="shared" si="2"/>
        <v>50</v>
      </c>
      <c r="AF35" s="12">
        <f>AE35*(0.01*IF(D35="lab",SETTINGS!$F$26,SETTINGS!$F$32))</f>
        <v>0</v>
      </c>
      <c r="AG35" s="13">
        <f t="shared" si="3"/>
        <v>0</v>
      </c>
      <c r="AI35" s="9"/>
      <c r="AJ35" s="5"/>
      <c r="AK35" s="5"/>
      <c r="AL35" s="5"/>
      <c r="AM35" s="5"/>
      <c r="AN35" s="8">
        <f t="shared" si="12"/>
        <v>0</v>
      </c>
      <c r="AO35" s="8">
        <f t="shared" si="4"/>
        <v>50</v>
      </c>
      <c r="AP35" s="12">
        <f>AO35*(0.01*IF(D35="lab",SETTINGS!$F$22,SETTINGS!$F$29))</f>
        <v>0</v>
      </c>
      <c r="AQ35" s="9"/>
      <c r="AR35" s="9"/>
      <c r="AS35" s="5"/>
      <c r="AT35" s="5"/>
      <c r="AU35" s="5"/>
      <c r="AV35" s="8">
        <f t="shared" si="13"/>
        <v>0</v>
      </c>
      <c r="AW35" s="8">
        <f t="shared" si="5"/>
        <v>50</v>
      </c>
      <c r="AX35" s="12">
        <f>AW35*(0.01*IF(D35="lab",SETTINGS!$F$23,SETTINGS!$F$30))</f>
        <v>0</v>
      </c>
      <c r="AY35" s="9">
        <f>ATT!AJ34</f>
        <v>100</v>
      </c>
      <c r="AZ35" s="12">
        <f>AY35*(0.01*IF(D35="lab",SETTINGS!$F$21,SETTINGS!$F$28))</f>
        <v>0</v>
      </c>
      <c r="BA35" s="9">
        <v>100</v>
      </c>
      <c r="BB35" s="12">
        <f>BA35*(0.01*IF(D35="lab",SETTINGS!$F$24,SETTINGS!$F$31))</f>
        <v>0</v>
      </c>
      <c r="BC35" s="71"/>
      <c r="BD35" s="8">
        <f t="shared" si="6"/>
        <v>50</v>
      </c>
      <c r="BE35" s="12">
        <f>BD35*(0.01*IF(D35="lab",SETTINGS!$F$25,"0"))</f>
        <v>0</v>
      </c>
      <c r="BF35" s="5"/>
      <c r="BG35" s="8">
        <f t="shared" si="7"/>
        <v>50</v>
      </c>
      <c r="BH35" s="12">
        <f>BG35*(0.01*IF(D35="lab",SETTINGS!$F$26,SETTINGS!$F$32))</f>
        <v>0</v>
      </c>
      <c r="BI35" s="13">
        <f t="shared" si="9"/>
        <v>0</v>
      </c>
      <c r="BJ35" s="60"/>
    </row>
    <row r="36" spans="2:62" x14ac:dyDescent="0.25">
      <c r="B36" s="6">
        <v>30</v>
      </c>
      <c r="C36" s="76">
        <f>SETTINGS!C39</f>
        <v>0</v>
      </c>
      <c r="D36" s="81" t="s">
        <v>81</v>
      </c>
      <c r="E36" s="9"/>
      <c r="F36" s="5"/>
      <c r="G36" s="5"/>
      <c r="H36" s="5"/>
      <c r="I36" s="5"/>
      <c r="J36" s="8">
        <f t="shared" si="10"/>
        <v>0</v>
      </c>
      <c r="K36" s="8">
        <f t="shared" si="8"/>
        <v>50</v>
      </c>
      <c r="L36" s="12">
        <f>K36*(0.01*IF(D36="lab",SETTINGS!$F$22,SETTINGS!$F$29))</f>
        <v>0</v>
      </c>
      <c r="M36" s="9"/>
      <c r="N36" s="9"/>
      <c r="O36" s="9"/>
      <c r="P36" s="5"/>
      <c r="Q36" s="5"/>
      <c r="R36" s="8">
        <f t="shared" si="11"/>
        <v>0</v>
      </c>
      <c r="S36" s="11">
        <f t="shared" si="0"/>
        <v>50</v>
      </c>
      <c r="T36" s="12">
        <f>S36*(0.01*IF(D36="lab",SETTINGS!$F$23,SETTINGS!$F$30))</f>
        <v>0</v>
      </c>
      <c r="U36" s="9">
        <f>ATT!S35</f>
        <v>100</v>
      </c>
      <c r="V36" s="12">
        <f>U36*(0.01*IF(D36="lab",SETTINGS!$F$21,SETTINGS!$F$28))</f>
        <v>0</v>
      </c>
      <c r="W36" s="9">
        <v>100</v>
      </c>
      <c r="X36" s="12">
        <f>W36*(0.01*IF(D36="lab",SETTINGS!$F$24,SETTINGS!$F$31))</f>
        <v>0</v>
      </c>
      <c r="Y36" s="71">
        <v>0</v>
      </c>
      <c r="Z36" s="12" t="e">
        <f>Y36*(0.01*IF(#REF!="ONLINE", SETTINGS!$F$26, IF('MID-FINAL'!#REF!="BLENDED",SETTINGS!$F$34, IF('MID-FINAL'!#REF!="MODULAR",SETTINGS!$F$42))))</f>
        <v>#REF!</v>
      </c>
      <c r="AA36" s="82"/>
      <c r="AB36" s="83">
        <f t="shared" si="1"/>
        <v>50</v>
      </c>
      <c r="AC36" s="12">
        <f>AB36*(0.01*IF(D36="lab",SETTINGS!$F$25,"0"))</f>
        <v>0</v>
      </c>
      <c r="AD36" s="9"/>
      <c r="AE36" s="8">
        <f t="shared" si="2"/>
        <v>50</v>
      </c>
      <c r="AF36" s="12">
        <f>AE36*(0.01*IF(D36="lab",SETTINGS!$F$26,SETTINGS!$F$32))</f>
        <v>0</v>
      </c>
      <c r="AG36" s="13">
        <f t="shared" si="3"/>
        <v>0</v>
      </c>
      <c r="AI36" s="9"/>
      <c r="AJ36" s="5"/>
      <c r="AK36" s="5"/>
      <c r="AL36" s="5"/>
      <c r="AM36" s="5"/>
      <c r="AN36" s="8">
        <f t="shared" si="12"/>
        <v>0</v>
      </c>
      <c r="AO36" s="8">
        <f t="shared" si="4"/>
        <v>50</v>
      </c>
      <c r="AP36" s="12">
        <f>AO36*(0.01*IF(D36="lab",SETTINGS!$F$22,SETTINGS!$F$29))</f>
        <v>0</v>
      </c>
      <c r="AQ36" s="9"/>
      <c r="AR36" s="9"/>
      <c r="AS36" s="5"/>
      <c r="AT36" s="5"/>
      <c r="AU36" s="5"/>
      <c r="AV36" s="8">
        <f t="shared" si="13"/>
        <v>0</v>
      </c>
      <c r="AW36" s="8">
        <f t="shared" si="5"/>
        <v>50</v>
      </c>
      <c r="AX36" s="12">
        <f>AW36*(0.01*IF(D36="lab",SETTINGS!$F$23,SETTINGS!$F$30))</f>
        <v>0</v>
      </c>
      <c r="AY36" s="9">
        <f>ATT!AJ35</f>
        <v>100</v>
      </c>
      <c r="AZ36" s="12">
        <f>AY36*(0.01*IF(D36="lab",SETTINGS!$F$21,SETTINGS!$F$28))</f>
        <v>0</v>
      </c>
      <c r="BA36" s="9">
        <v>100</v>
      </c>
      <c r="BB36" s="12">
        <f>BA36*(0.01*IF(D36="lab",SETTINGS!$F$24,SETTINGS!$F$31))</f>
        <v>0</v>
      </c>
      <c r="BC36" s="71"/>
      <c r="BD36" s="8">
        <f t="shared" si="6"/>
        <v>50</v>
      </c>
      <c r="BE36" s="12">
        <f>BD36*(0.01*IF(D36="lab",SETTINGS!$F$25,"0"))</f>
        <v>0</v>
      </c>
      <c r="BF36" s="5"/>
      <c r="BG36" s="8">
        <f t="shared" si="7"/>
        <v>50</v>
      </c>
      <c r="BH36" s="12">
        <f>BG36*(0.01*IF(D36="lab",SETTINGS!$F$26,SETTINGS!$F$32))</f>
        <v>0</v>
      </c>
      <c r="BI36" s="13">
        <f t="shared" si="9"/>
        <v>0</v>
      </c>
      <c r="BJ36" s="60"/>
    </row>
    <row r="37" spans="2:62" x14ac:dyDescent="0.25">
      <c r="B37" s="6">
        <v>31</v>
      </c>
      <c r="C37" s="76">
        <f>SETTINGS!C40</f>
        <v>0</v>
      </c>
      <c r="D37" s="81" t="s">
        <v>81</v>
      </c>
      <c r="E37" s="9"/>
      <c r="F37" s="5"/>
      <c r="G37" s="5"/>
      <c r="H37" s="5"/>
      <c r="I37" s="5"/>
      <c r="J37" s="8">
        <f t="shared" si="10"/>
        <v>0</v>
      </c>
      <c r="K37" s="8">
        <f t="shared" si="8"/>
        <v>50</v>
      </c>
      <c r="L37" s="12">
        <f>K37*(0.01*IF(D37="lab",SETTINGS!$F$22,SETTINGS!$F$29))</f>
        <v>0</v>
      </c>
      <c r="M37" s="9"/>
      <c r="N37" s="9"/>
      <c r="O37" s="9"/>
      <c r="P37" s="5"/>
      <c r="Q37" s="5"/>
      <c r="R37" s="8">
        <f t="shared" si="11"/>
        <v>0</v>
      </c>
      <c r="S37" s="11">
        <f t="shared" si="0"/>
        <v>50</v>
      </c>
      <c r="T37" s="12">
        <f>S37*(0.01*IF(D37="lab",SETTINGS!$F$23,SETTINGS!$F$30))</f>
        <v>0</v>
      </c>
      <c r="U37" s="9">
        <f>ATT!S36</f>
        <v>100</v>
      </c>
      <c r="V37" s="12">
        <f>U37*(0.01*IF(D37="lab",SETTINGS!$F$21,SETTINGS!$F$28))</f>
        <v>0</v>
      </c>
      <c r="W37" s="9">
        <v>100</v>
      </c>
      <c r="X37" s="12">
        <f>W37*(0.01*IF(D37="lab",SETTINGS!$F$24,SETTINGS!$F$31))</f>
        <v>0</v>
      </c>
      <c r="Y37" s="71">
        <v>0</v>
      </c>
      <c r="Z37" s="12" t="e">
        <f>Y37*(0.01*IF(#REF!="ONLINE", SETTINGS!$F$26, IF('MID-FINAL'!#REF!="BLENDED",SETTINGS!$F$34, IF('MID-FINAL'!#REF!="MODULAR",SETTINGS!$F$42))))</f>
        <v>#REF!</v>
      </c>
      <c r="AA37" s="82"/>
      <c r="AB37" s="83">
        <f t="shared" si="1"/>
        <v>50</v>
      </c>
      <c r="AC37" s="12">
        <f>AB37*(0.01*IF(D37="lab",SETTINGS!$F$25,"0"))</f>
        <v>0</v>
      </c>
      <c r="AD37" s="9"/>
      <c r="AE37" s="8">
        <f t="shared" si="2"/>
        <v>50</v>
      </c>
      <c r="AF37" s="12">
        <f>AE37*(0.01*IF(D37="lab",SETTINGS!$F$26,SETTINGS!$F$32))</f>
        <v>0</v>
      </c>
      <c r="AG37" s="13">
        <f t="shared" si="3"/>
        <v>0</v>
      </c>
      <c r="AI37" s="9"/>
      <c r="AJ37" s="5"/>
      <c r="AK37" s="5"/>
      <c r="AL37" s="5"/>
      <c r="AM37" s="5"/>
      <c r="AN37" s="8">
        <f t="shared" si="12"/>
        <v>0</v>
      </c>
      <c r="AO37" s="8">
        <f t="shared" si="4"/>
        <v>50</v>
      </c>
      <c r="AP37" s="12">
        <f>AO37*(0.01*IF(D37="lab",SETTINGS!$F$22,SETTINGS!$F$29))</f>
        <v>0</v>
      </c>
      <c r="AQ37" s="9"/>
      <c r="AR37" s="9"/>
      <c r="AS37" s="5"/>
      <c r="AT37" s="5"/>
      <c r="AU37" s="5"/>
      <c r="AV37" s="8">
        <f t="shared" si="13"/>
        <v>0</v>
      </c>
      <c r="AW37" s="8">
        <f t="shared" si="5"/>
        <v>50</v>
      </c>
      <c r="AX37" s="12">
        <f>AW37*(0.01*IF(D37="lab",SETTINGS!$F$23,SETTINGS!$F$30))</f>
        <v>0</v>
      </c>
      <c r="AY37" s="9">
        <f>ATT!AJ36</f>
        <v>100</v>
      </c>
      <c r="AZ37" s="12">
        <f>AY37*(0.01*IF(D37="lab",SETTINGS!$F$21,SETTINGS!$F$28))</f>
        <v>0</v>
      </c>
      <c r="BA37" s="9">
        <v>100</v>
      </c>
      <c r="BB37" s="12">
        <f>BA37*(0.01*IF(D37="lab",SETTINGS!$F$24,SETTINGS!$F$31))</f>
        <v>0</v>
      </c>
      <c r="BC37" s="71"/>
      <c r="BD37" s="8">
        <f t="shared" si="6"/>
        <v>50</v>
      </c>
      <c r="BE37" s="12">
        <f>BD37*(0.01*IF(D37="lab",SETTINGS!$F$25,"0"))</f>
        <v>0</v>
      </c>
      <c r="BF37" s="5"/>
      <c r="BG37" s="8">
        <f t="shared" si="7"/>
        <v>50</v>
      </c>
      <c r="BH37" s="12">
        <f>BG37*(0.01*IF(D37="lab",SETTINGS!$F$26,SETTINGS!$F$32))</f>
        <v>0</v>
      </c>
      <c r="BI37" s="13">
        <f t="shared" si="9"/>
        <v>0</v>
      </c>
      <c r="BJ37" s="60"/>
    </row>
    <row r="38" spans="2:62" x14ac:dyDescent="0.25">
      <c r="B38" s="6">
        <v>32</v>
      </c>
      <c r="C38" s="76">
        <f>SETTINGS!C41</f>
        <v>0</v>
      </c>
      <c r="D38" s="81" t="s">
        <v>81</v>
      </c>
      <c r="E38" s="9"/>
      <c r="F38" s="5"/>
      <c r="G38" s="5"/>
      <c r="H38" s="5"/>
      <c r="I38" s="5"/>
      <c r="J38" s="8">
        <f t="shared" si="10"/>
        <v>0</v>
      </c>
      <c r="K38" s="8">
        <f t="shared" si="8"/>
        <v>50</v>
      </c>
      <c r="L38" s="12">
        <f>K38*(0.01*IF(D38="lab",SETTINGS!$F$22,SETTINGS!$F$29))</f>
        <v>0</v>
      </c>
      <c r="M38" s="9"/>
      <c r="N38" s="9"/>
      <c r="O38" s="9"/>
      <c r="P38" s="5"/>
      <c r="Q38" s="5"/>
      <c r="R38" s="8">
        <f t="shared" si="11"/>
        <v>0</v>
      </c>
      <c r="S38" s="11">
        <f t="shared" ref="S38:S69" si="14">R38/$R$6*50+50</f>
        <v>50</v>
      </c>
      <c r="T38" s="12">
        <f>S38*(0.01*IF(D38="lab",SETTINGS!$F$23,SETTINGS!$F$30))</f>
        <v>0</v>
      </c>
      <c r="U38" s="9">
        <f>ATT!S37</f>
        <v>100</v>
      </c>
      <c r="V38" s="12">
        <f>U38*(0.01*IF(D38="lab",SETTINGS!$F$21,SETTINGS!$F$28))</f>
        <v>0</v>
      </c>
      <c r="W38" s="9">
        <v>100</v>
      </c>
      <c r="X38" s="12">
        <f>W38*(0.01*IF(D38="lab",SETTINGS!$F$24,SETTINGS!$F$31))</f>
        <v>0</v>
      </c>
      <c r="Y38" s="71">
        <v>0</v>
      </c>
      <c r="Z38" s="12" t="e">
        <f>Y38*(0.01*IF(#REF!="ONLINE", SETTINGS!$F$26, IF('MID-FINAL'!#REF!="BLENDED",SETTINGS!$F$34, IF('MID-FINAL'!#REF!="MODULAR",SETTINGS!$F$42))))</f>
        <v>#REF!</v>
      </c>
      <c r="AA38" s="82"/>
      <c r="AB38" s="83">
        <f t="shared" ref="AB38:AB69" si="15">AA38/$AA$6*50+50</f>
        <v>50</v>
      </c>
      <c r="AC38" s="12">
        <f>AB38*(0.01*IF(D38="lab",SETTINGS!$F$25,"0"))</f>
        <v>0</v>
      </c>
      <c r="AD38" s="9"/>
      <c r="AE38" s="8">
        <f t="shared" ref="AE38:AE69" si="16">AD38/$AD$6*50+50</f>
        <v>50</v>
      </c>
      <c r="AF38" s="12">
        <f>AE38*(0.01*IF(D38="lab",SETTINGS!$F$26,SETTINGS!$F$32))</f>
        <v>0</v>
      </c>
      <c r="AG38" s="13">
        <f t="shared" si="3"/>
        <v>0</v>
      </c>
      <c r="AI38" s="9"/>
      <c r="AJ38" s="5"/>
      <c r="AK38" s="5"/>
      <c r="AL38" s="5"/>
      <c r="AM38" s="5"/>
      <c r="AN38" s="8">
        <f t="shared" si="12"/>
        <v>0</v>
      </c>
      <c r="AO38" s="8">
        <f t="shared" si="4"/>
        <v>50</v>
      </c>
      <c r="AP38" s="12">
        <f>AO38*(0.01*IF(D38="lab",SETTINGS!$F$22,SETTINGS!$F$29))</f>
        <v>0</v>
      </c>
      <c r="AQ38" s="9"/>
      <c r="AR38" s="9"/>
      <c r="AS38" s="5"/>
      <c r="AT38" s="5"/>
      <c r="AU38" s="5"/>
      <c r="AV38" s="8">
        <f t="shared" si="13"/>
        <v>0</v>
      </c>
      <c r="AW38" s="8">
        <f t="shared" si="5"/>
        <v>50</v>
      </c>
      <c r="AX38" s="12">
        <f>AW38*(0.01*IF(D38="lab",SETTINGS!$F$23,SETTINGS!$F$30))</f>
        <v>0</v>
      </c>
      <c r="AY38" s="9">
        <f>ATT!AJ37</f>
        <v>100</v>
      </c>
      <c r="AZ38" s="12">
        <f>AY38*(0.01*IF(D38="lab",SETTINGS!$F$21,SETTINGS!$F$28))</f>
        <v>0</v>
      </c>
      <c r="BA38" s="9">
        <v>100</v>
      </c>
      <c r="BB38" s="12">
        <f>BA38*(0.01*IF(D38="lab",SETTINGS!$F$24,SETTINGS!$F$31))</f>
        <v>0</v>
      </c>
      <c r="BC38" s="71"/>
      <c r="BD38" s="8">
        <f t="shared" si="6"/>
        <v>50</v>
      </c>
      <c r="BE38" s="12">
        <f>BD38*(0.01*IF(D38="lab",SETTINGS!$F$25,"0"))</f>
        <v>0</v>
      </c>
      <c r="BF38" s="5"/>
      <c r="BG38" s="8">
        <f t="shared" si="7"/>
        <v>50</v>
      </c>
      <c r="BH38" s="12">
        <f>BG38*(0.01*IF(D38="lab",SETTINGS!$F$26,SETTINGS!$F$32))</f>
        <v>0</v>
      </c>
      <c r="BI38" s="13">
        <f t="shared" si="9"/>
        <v>0</v>
      </c>
      <c r="BJ38" s="60"/>
    </row>
    <row r="39" spans="2:62" x14ac:dyDescent="0.25">
      <c r="B39" s="6">
        <v>33</v>
      </c>
      <c r="C39" s="76">
        <f>SETTINGS!C42</f>
        <v>0</v>
      </c>
      <c r="D39" s="81" t="s">
        <v>81</v>
      </c>
      <c r="E39" s="9"/>
      <c r="F39" s="5"/>
      <c r="G39" s="5"/>
      <c r="H39" s="5"/>
      <c r="I39" s="5"/>
      <c r="J39" s="8">
        <f t="shared" si="10"/>
        <v>0</v>
      </c>
      <c r="K39" s="8">
        <f t="shared" si="8"/>
        <v>50</v>
      </c>
      <c r="L39" s="12">
        <f>K39*(0.01*IF(D39="lab",SETTINGS!$F$22,SETTINGS!$F$29))</f>
        <v>0</v>
      </c>
      <c r="M39" s="9"/>
      <c r="N39" s="9"/>
      <c r="O39" s="9"/>
      <c r="P39" s="5"/>
      <c r="Q39" s="5"/>
      <c r="R39" s="8">
        <f t="shared" si="11"/>
        <v>0</v>
      </c>
      <c r="S39" s="11">
        <f t="shared" si="14"/>
        <v>50</v>
      </c>
      <c r="T39" s="12">
        <f>S39*(0.01*IF(D39="lab",SETTINGS!$F$23,SETTINGS!$F$30))</f>
        <v>0</v>
      </c>
      <c r="U39" s="9">
        <f>ATT!S38</f>
        <v>100</v>
      </c>
      <c r="V39" s="12">
        <f>U39*(0.01*IF(D39="lab",SETTINGS!$F$21,SETTINGS!$F$28))</f>
        <v>0</v>
      </c>
      <c r="W39" s="9">
        <v>100</v>
      </c>
      <c r="X39" s="12">
        <f>W39*(0.01*IF(D39="lab",SETTINGS!$F$24,SETTINGS!$F$31))</f>
        <v>0</v>
      </c>
      <c r="Y39" s="71">
        <v>0</v>
      </c>
      <c r="Z39" s="12" t="e">
        <f>Y39*(0.01*IF(#REF!="ONLINE", SETTINGS!$F$26, IF('MID-FINAL'!#REF!="BLENDED",SETTINGS!$F$34, IF('MID-FINAL'!#REF!="MODULAR",SETTINGS!$F$42))))</f>
        <v>#REF!</v>
      </c>
      <c r="AA39" s="82"/>
      <c r="AB39" s="83">
        <f t="shared" si="15"/>
        <v>50</v>
      </c>
      <c r="AC39" s="12">
        <f>AB39*(0.01*IF(D39="lab",SETTINGS!$F$25,"0"))</f>
        <v>0</v>
      </c>
      <c r="AD39" s="9"/>
      <c r="AE39" s="8">
        <f t="shared" si="16"/>
        <v>50</v>
      </c>
      <c r="AF39" s="12">
        <f>AE39*(0.01*IF(D39="lab",SETTINGS!$F$26,SETTINGS!$F$32))</f>
        <v>0</v>
      </c>
      <c r="AG39" s="13">
        <f t="shared" ref="AG39:AG70" si="17">IF(U39&lt;=40,"DRP",AF39+AC39+X39+V39+T39+L39)</f>
        <v>0</v>
      </c>
      <c r="AI39" s="9"/>
      <c r="AJ39" s="5"/>
      <c r="AK39" s="5"/>
      <c r="AL39" s="5"/>
      <c r="AM39" s="5"/>
      <c r="AN39" s="8">
        <f t="shared" si="12"/>
        <v>0</v>
      </c>
      <c r="AO39" s="8">
        <f t="shared" si="4"/>
        <v>50</v>
      </c>
      <c r="AP39" s="12">
        <f>AO39*(0.01*IF(D39="lab",SETTINGS!$F$22,SETTINGS!$F$29))</f>
        <v>0</v>
      </c>
      <c r="AQ39" s="9"/>
      <c r="AR39" s="9"/>
      <c r="AS39" s="5"/>
      <c r="AT39" s="5"/>
      <c r="AU39" s="5"/>
      <c r="AV39" s="8">
        <f t="shared" si="13"/>
        <v>0</v>
      </c>
      <c r="AW39" s="8">
        <f t="shared" si="5"/>
        <v>50</v>
      </c>
      <c r="AX39" s="12">
        <f>AW39*(0.01*IF(D39="lab",SETTINGS!$F$23,SETTINGS!$F$30))</f>
        <v>0</v>
      </c>
      <c r="AY39" s="9">
        <f>ATT!AJ38</f>
        <v>100</v>
      </c>
      <c r="AZ39" s="12">
        <f>AY39*(0.01*IF(D39="lab",SETTINGS!$F$21,SETTINGS!$F$28))</f>
        <v>0</v>
      </c>
      <c r="BA39" s="9">
        <v>100</v>
      </c>
      <c r="BB39" s="12">
        <f>BA39*(0.01*IF(D39="lab",SETTINGS!$F$24,SETTINGS!$F$31))</f>
        <v>0</v>
      </c>
      <c r="BC39" s="71"/>
      <c r="BD39" s="8">
        <f t="shared" si="6"/>
        <v>50</v>
      </c>
      <c r="BE39" s="12">
        <f>BD39*(0.01*IF(D39="lab",SETTINGS!$F$25,"0"))</f>
        <v>0</v>
      </c>
      <c r="BF39" s="5"/>
      <c r="BG39" s="8">
        <f t="shared" si="7"/>
        <v>50</v>
      </c>
      <c r="BH39" s="12">
        <f>BG39*(0.01*IF(D39="lab",SETTINGS!$F$26,SETTINGS!$F$32))</f>
        <v>0</v>
      </c>
      <c r="BI39" s="13">
        <f t="shared" si="9"/>
        <v>0</v>
      </c>
      <c r="BJ39" s="60"/>
    </row>
    <row r="40" spans="2:62" x14ac:dyDescent="0.25">
      <c r="B40" s="6">
        <v>34</v>
      </c>
      <c r="C40" s="76">
        <f>SETTINGS!C43</f>
        <v>0</v>
      </c>
      <c r="D40" s="81" t="s">
        <v>81</v>
      </c>
      <c r="E40" s="9"/>
      <c r="F40" s="5"/>
      <c r="G40" s="5"/>
      <c r="H40" s="5"/>
      <c r="I40" s="5"/>
      <c r="J40" s="8">
        <f t="shared" si="10"/>
        <v>0</v>
      </c>
      <c r="K40" s="8">
        <f t="shared" si="8"/>
        <v>50</v>
      </c>
      <c r="L40" s="12">
        <f>K40*(0.01*IF(D40="lab",SETTINGS!$F$22,SETTINGS!$F$29))</f>
        <v>0</v>
      </c>
      <c r="M40" s="9"/>
      <c r="N40" s="9"/>
      <c r="O40" s="9"/>
      <c r="P40" s="5"/>
      <c r="Q40" s="5"/>
      <c r="R40" s="8">
        <f t="shared" si="11"/>
        <v>0</v>
      </c>
      <c r="S40" s="11">
        <f t="shared" si="14"/>
        <v>50</v>
      </c>
      <c r="T40" s="12">
        <f>S40*(0.01*IF(D40="lab",SETTINGS!$F$23,SETTINGS!$F$30))</f>
        <v>0</v>
      </c>
      <c r="U40" s="9">
        <f>ATT!S39</f>
        <v>100</v>
      </c>
      <c r="V40" s="12">
        <f>U40*(0.01*IF(D40="lab",SETTINGS!$F$21,SETTINGS!$F$28))</f>
        <v>0</v>
      </c>
      <c r="W40" s="9">
        <v>100</v>
      </c>
      <c r="X40" s="12">
        <f>W40*(0.01*IF(D40="lab",SETTINGS!$F$24,SETTINGS!$F$31))</f>
        <v>0</v>
      </c>
      <c r="Y40" s="71">
        <v>0</v>
      </c>
      <c r="Z40" s="12" t="e">
        <f>Y40*(0.01*IF(#REF!="ONLINE", SETTINGS!$F$26, IF('MID-FINAL'!#REF!="BLENDED",SETTINGS!$F$34, IF('MID-FINAL'!#REF!="MODULAR",SETTINGS!$F$42))))</f>
        <v>#REF!</v>
      </c>
      <c r="AA40" s="82"/>
      <c r="AB40" s="83">
        <f t="shared" si="15"/>
        <v>50</v>
      </c>
      <c r="AC40" s="12">
        <f>AB40*(0.01*IF(D40="lab",SETTINGS!$F$25,"0"))</f>
        <v>0</v>
      </c>
      <c r="AD40" s="9"/>
      <c r="AE40" s="8">
        <f t="shared" si="16"/>
        <v>50</v>
      </c>
      <c r="AF40" s="12">
        <f>AE40*(0.01*IF(D40="lab",SETTINGS!$F$26,SETTINGS!$F$32))</f>
        <v>0</v>
      </c>
      <c r="AG40" s="13">
        <f t="shared" si="17"/>
        <v>0</v>
      </c>
      <c r="AI40" s="9"/>
      <c r="AJ40" s="5"/>
      <c r="AK40" s="5"/>
      <c r="AL40" s="5"/>
      <c r="AM40" s="5"/>
      <c r="AN40" s="8">
        <f t="shared" si="12"/>
        <v>0</v>
      </c>
      <c r="AO40" s="8">
        <f t="shared" si="4"/>
        <v>50</v>
      </c>
      <c r="AP40" s="12">
        <f>AO40*(0.01*IF(D40="lab",SETTINGS!$F$22,SETTINGS!$F$29))</f>
        <v>0</v>
      </c>
      <c r="AQ40" s="9"/>
      <c r="AR40" s="9"/>
      <c r="AS40" s="5"/>
      <c r="AT40" s="5"/>
      <c r="AU40" s="5"/>
      <c r="AV40" s="8">
        <f t="shared" si="13"/>
        <v>0</v>
      </c>
      <c r="AW40" s="8">
        <f t="shared" si="5"/>
        <v>50</v>
      </c>
      <c r="AX40" s="12">
        <f>AW40*(0.01*IF(D40="lab",SETTINGS!$F$23,SETTINGS!$F$30))</f>
        <v>0</v>
      </c>
      <c r="AY40" s="9">
        <f>ATT!AJ39</f>
        <v>100</v>
      </c>
      <c r="AZ40" s="12">
        <f>AY40*(0.01*IF(D40="lab",SETTINGS!$F$21,SETTINGS!$F$28))</f>
        <v>0</v>
      </c>
      <c r="BA40" s="9">
        <v>100</v>
      </c>
      <c r="BB40" s="12">
        <f>BA40*(0.01*IF(D40="lab",SETTINGS!$F$24,SETTINGS!$F$31))</f>
        <v>0</v>
      </c>
      <c r="BC40" s="71"/>
      <c r="BD40" s="8">
        <f t="shared" si="6"/>
        <v>50</v>
      </c>
      <c r="BE40" s="12">
        <f>BD40*(0.01*IF(D40="lab",SETTINGS!$F$25,"0"))</f>
        <v>0</v>
      </c>
      <c r="BF40" s="5"/>
      <c r="BG40" s="8">
        <f t="shared" si="7"/>
        <v>50</v>
      </c>
      <c r="BH40" s="12">
        <f>BG40*(0.01*IF(D40="lab",SETTINGS!$F$26,SETTINGS!$F$32))</f>
        <v>0</v>
      </c>
      <c r="BI40" s="13">
        <f t="shared" si="9"/>
        <v>0</v>
      </c>
      <c r="BJ40" s="60"/>
    </row>
    <row r="41" spans="2:62" x14ac:dyDescent="0.25">
      <c r="B41" s="6">
        <v>35</v>
      </c>
      <c r="C41" s="76">
        <f>SETTINGS!C44</f>
        <v>0</v>
      </c>
      <c r="D41" s="81" t="s">
        <v>81</v>
      </c>
      <c r="E41" s="9"/>
      <c r="F41" s="5"/>
      <c r="G41" s="5"/>
      <c r="H41" s="5"/>
      <c r="I41" s="5"/>
      <c r="J41" s="8">
        <f t="shared" si="10"/>
        <v>0</v>
      </c>
      <c r="K41" s="8">
        <f t="shared" si="8"/>
        <v>50</v>
      </c>
      <c r="L41" s="12">
        <f>K41*(0.01*IF(D41="lab",SETTINGS!$F$22,SETTINGS!$F$29))</f>
        <v>0</v>
      </c>
      <c r="M41" s="9"/>
      <c r="N41" s="9"/>
      <c r="O41" s="9"/>
      <c r="P41" s="5"/>
      <c r="Q41" s="5"/>
      <c r="R41" s="8">
        <f t="shared" si="11"/>
        <v>0</v>
      </c>
      <c r="S41" s="11">
        <f t="shared" si="14"/>
        <v>50</v>
      </c>
      <c r="T41" s="12">
        <f>S41*(0.01*IF(D41="lab",SETTINGS!$F$23,SETTINGS!$F$30))</f>
        <v>0</v>
      </c>
      <c r="U41" s="9">
        <f>ATT!S40</f>
        <v>100</v>
      </c>
      <c r="V41" s="12">
        <f>U41*(0.01*IF(D41="lab",SETTINGS!$F$21,SETTINGS!$F$28))</f>
        <v>0</v>
      </c>
      <c r="W41" s="9">
        <v>100</v>
      </c>
      <c r="X41" s="12">
        <f>W41*(0.01*IF(D41="lab",SETTINGS!$F$24,SETTINGS!$F$31))</f>
        <v>0</v>
      </c>
      <c r="Y41" s="71">
        <v>0</v>
      </c>
      <c r="Z41" s="12" t="e">
        <f>Y41*(0.01*IF(#REF!="ONLINE", SETTINGS!$F$26, IF('MID-FINAL'!#REF!="BLENDED",SETTINGS!$F$34, IF('MID-FINAL'!#REF!="MODULAR",SETTINGS!$F$42))))</f>
        <v>#REF!</v>
      </c>
      <c r="AA41" s="82"/>
      <c r="AB41" s="83">
        <f t="shared" si="15"/>
        <v>50</v>
      </c>
      <c r="AC41" s="12">
        <f>AB41*(0.01*IF(D41="lab",SETTINGS!$F$25,"0"))</f>
        <v>0</v>
      </c>
      <c r="AD41" s="9"/>
      <c r="AE41" s="8">
        <f t="shared" si="16"/>
        <v>50</v>
      </c>
      <c r="AF41" s="12">
        <f>AE41*(0.01*IF(D41="lab",SETTINGS!$F$26,SETTINGS!$F$32))</f>
        <v>0</v>
      </c>
      <c r="AG41" s="13">
        <f t="shared" si="17"/>
        <v>0</v>
      </c>
      <c r="AI41" s="9"/>
      <c r="AJ41" s="5"/>
      <c r="AK41" s="5"/>
      <c r="AL41" s="5"/>
      <c r="AM41" s="5"/>
      <c r="AN41" s="8">
        <f t="shared" si="12"/>
        <v>0</v>
      </c>
      <c r="AO41" s="8">
        <f t="shared" si="4"/>
        <v>50</v>
      </c>
      <c r="AP41" s="12">
        <f>AO41*(0.01*IF(D41="lab",SETTINGS!$F$22,SETTINGS!$F$29))</f>
        <v>0</v>
      </c>
      <c r="AQ41" s="9"/>
      <c r="AR41" s="9"/>
      <c r="AS41" s="5"/>
      <c r="AT41" s="5"/>
      <c r="AU41" s="5"/>
      <c r="AV41" s="8">
        <f t="shared" si="13"/>
        <v>0</v>
      </c>
      <c r="AW41" s="8">
        <f t="shared" si="5"/>
        <v>50</v>
      </c>
      <c r="AX41" s="12">
        <f>AW41*(0.01*IF(D41="lab",SETTINGS!$F$23,SETTINGS!$F$30))</f>
        <v>0</v>
      </c>
      <c r="AY41" s="9">
        <f>ATT!AJ40</f>
        <v>100</v>
      </c>
      <c r="AZ41" s="12">
        <f>AY41*(0.01*IF(D41="lab",SETTINGS!$F$21,SETTINGS!$F$28))</f>
        <v>0</v>
      </c>
      <c r="BA41" s="9">
        <v>100</v>
      </c>
      <c r="BB41" s="12">
        <f>BA41*(0.01*IF(D41="lab",SETTINGS!$F$24,SETTINGS!$F$31))</f>
        <v>0</v>
      </c>
      <c r="BC41" s="71"/>
      <c r="BD41" s="8">
        <f t="shared" si="6"/>
        <v>50</v>
      </c>
      <c r="BE41" s="12">
        <f>BD41*(0.01*IF(D41="lab",SETTINGS!$F$25,"0"))</f>
        <v>0</v>
      </c>
      <c r="BF41" s="5"/>
      <c r="BG41" s="8">
        <f t="shared" si="7"/>
        <v>50</v>
      </c>
      <c r="BH41" s="12">
        <f>BG41*(0.01*IF(D41="lab",SETTINGS!$F$26,SETTINGS!$F$32))</f>
        <v>0</v>
      </c>
      <c r="BI41" s="13">
        <f t="shared" si="9"/>
        <v>0</v>
      </c>
      <c r="BJ41" s="60"/>
    </row>
    <row r="42" spans="2:62" x14ac:dyDescent="0.25">
      <c r="B42" s="6">
        <v>36</v>
      </c>
      <c r="C42" s="76">
        <f>SETTINGS!C45</f>
        <v>0</v>
      </c>
      <c r="D42" s="81" t="s">
        <v>81</v>
      </c>
      <c r="E42" s="9"/>
      <c r="F42" s="5"/>
      <c r="G42" s="5"/>
      <c r="H42" s="5"/>
      <c r="I42" s="5"/>
      <c r="J42" s="8">
        <f t="shared" si="10"/>
        <v>0</v>
      </c>
      <c r="K42" s="8">
        <f t="shared" si="8"/>
        <v>50</v>
      </c>
      <c r="L42" s="12">
        <f>K42*(0.01*IF(D42="lab",SETTINGS!$F$22,SETTINGS!$F$29))</f>
        <v>0</v>
      </c>
      <c r="M42" s="9"/>
      <c r="N42" s="9"/>
      <c r="O42" s="9"/>
      <c r="P42" s="5"/>
      <c r="Q42" s="5"/>
      <c r="R42" s="8">
        <f t="shared" si="11"/>
        <v>0</v>
      </c>
      <c r="S42" s="11">
        <f t="shared" si="14"/>
        <v>50</v>
      </c>
      <c r="T42" s="12">
        <f>S42*(0.01*IF(D42="lab",SETTINGS!$F$23,SETTINGS!$F$30))</f>
        <v>0</v>
      </c>
      <c r="U42" s="9">
        <f>ATT!S41</f>
        <v>100</v>
      </c>
      <c r="V42" s="12">
        <f>U42*(0.01*IF(D42="lab",SETTINGS!$F$21,SETTINGS!$F$28))</f>
        <v>0</v>
      </c>
      <c r="W42" s="9">
        <v>100</v>
      </c>
      <c r="X42" s="12">
        <f>W42*(0.01*IF(D42="lab",SETTINGS!$F$24,SETTINGS!$F$31))</f>
        <v>0</v>
      </c>
      <c r="Y42" s="71">
        <v>0</v>
      </c>
      <c r="Z42" s="12" t="e">
        <f>Y42*(0.01*IF(#REF!="ONLINE", SETTINGS!$F$26, IF('MID-FINAL'!#REF!="BLENDED",SETTINGS!$F$34, IF('MID-FINAL'!#REF!="MODULAR",SETTINGS!$F$42))))</f>
        <v>#REF!</v>
      </c>
      <c r="AA42" s="82"/>
      <c r="AB42" s="83">
        <f t="shared" si="15"/>
        <v>50</v>
      </c>
      <c r="AC42" s="12">
        <f>AB42*(0.01*IF(D42="lab",SETTINGS!$F$25,"0"))</f>
        <v>0</v>
      </c>
      <c r="AD42" s="9"/>
      <c r="AE42" s="8">
        <f t="shared" si="16"/>
        <v>50</v>
      </c>
      <c r="AF42" s="12">
        <f>AE42*(0.01*IF(D42="lab",SETTINGS!$F$26,SETTINGS!$F$32))</f>
        <v>0</v>
      </c>
      <c r="AG42" s="13">
        <f t="shared" si="17"/>
        <v>0</v>
      </c>
      <c r="AI42" s="9"/>
      <c r="AJ42" s="5"/>
      <c r="AK42" s="5"/>
      <c r="AL42" s="5"/>
      <c r="AM42" s="5"/>
      <c r="AN42" s="8">
        <f t="shared" si="12"/>
        <v>0</v>
      </c>
      <c r="AO42" s="8">
        <f t="shared" si="4"/>
        <v>50</v>
      </c>
      <c r="AP42" s="12">
        <f>AO42*(0.01*IF(D42="lab",SETTINGS!$F$22,SETTINGS!$F$29))</f>
        <v>0</v>
      </c>
      <c r="AQ42" s="9"/>
      <c r="AR42" s="9"/>
      <c r="AS42" s="5"/>
      <c r="AT42" s="5"/>
      <c r="AU42" s="5"/>
      <c r="AV42" s="8">
        <f t="shared" si="13"/>
        <v>0</v>
      </c>
      <c r="AW42" s="8">
        <f t="shared" si="5"/>
        <v>50</v>
      </c>
      <c r="AX42" s="12">
        <f>AW42*(0.01*IF(D42="lab",SETTINGS!$F$23,SETTINGS!$F$30))</f>
        <v>0</v>
      </c>
      <c r="AY42" s="9">
        <f>ATT!AJ41</f>
        <v>100</v>
      </c>
      <c r="AZ42" s="12">
        <f>AY42*(0.01*IF(D42="lab",SETTINGS!$F$21,SETTINGS!$F$28))</f>
        <v>0</v>
      </c>
      <c r="BA42" s="9">
        <v>100</v>
      </c>
      <c r="BB42" s="12">
        <f>BA42*(0.01*IF(D42="lab",SETTINGS!$F$24,SETTINGS!$F$31))</f>
        <v>0</v>
      </c>
      <c r="BC42" s="71"/>
      <c r="BD42" s="8">
        <f t="shared" si="6"/>
        <v>50</v>
      </c>
      <c r="BE42" s="12">
        <f>BD42*(0.01*IF(D42="lab",SETTINGS!$F$25,"0"))</f>
        <v>0</v>
      </c>
      <c r="BF42" s="5"/>
      <c r="BG42" s="8">
        <f t="shared" si="7"/>
        <v>50</v>
      </c>
      <c r="BH42" s="12">
        <f>BG42*(0.01*IF(D42="lab",SETTINGS!$F$26,SETTINGS!$F$32))</f>
        <v>0</v>
      </c>
      <c r="BI42" s="13">
        <f t="shared" si="9"/>
        <v>0</v>
      </c>
      <c r="BJ42" s="60"/>
    </row>
    <row r="43" spans="2:62" x14ac:dyDescent="0.25">
      <c r="B43" s="6">
        <v>37</v>
      </c>
      <c r="C43" s="76">
        <f>SETTINGS!C46</f>
        <v>0</v>
      </c>
      <c r="D43" s="81" t="s">
        <v>81</v>
      </c>
      <c r="E43" s="9"/>
      <c r="F43" s="5"/>
      <c r="G43" s="5"/>
      <c r="H43" s="5"/>
      <c r="I43" s="5"/>
      <c r="J43" s="8">
        <f t="shared" si="10"/>
        <v>0</v>
      </c>
      <c r="K43" s="8">
        <f t="shared" si="8"/>
        <v>50</v>
      </c>
      <c r="L43" s="12">
        <f>K43*(0.01*IF(D43="lab",SETTINGS!$F$22,SETTINGS!$F$29))</f>
        <v>0</v>
      </c>
      <c r="M43" s="9"/>
      <c r="N43" s="9"/>
      <c r="O43" s="9"/>
      <c r="P43" s="5"/>
      <c r="Q43" s="5"/>
      <c r="R43" s="8">
        <f t="shared" si="11"/>
        <v>0</v>
      </c>
      <c r="S43" s="11">
        <f t="shared" si="14"/>
        <v>50</v>
      </c>
      <c r="T43" s="12">
        <f>S43*(0.01*IF(D43="lab",SETTINGS!$F$23,SETTINGS!$F$30))</f>
        <v>0</v>
      </c>
      <c r="U43" s="9">
        <f>ATT!S42</f>
        <v>100</v>
      </c>
      <c r="V43" s="12">
        <f>U43*(0.01*IF(D43="lab",SETTINGS!$F$21,SETTINGS!$F$28))</f>
        <v>0</v>
      </c>
      <c r="W43" s="9">
        <v>100</v>
      </c>
      <c r="X43" s="12">
        <f>W43*(0.01*IF(D43="lab",SETTINGS!$F$24,SETTINGS!$F$31))</f>
        <v>0</v>
      </c>
      <c r="Y43" s="71">
        <v>0</v>
      </c>
      <c r="Z43" s="12" t="e">
        <f>Y43*(0.01*IF(#REF!="ONLINE", SETTINGS!$F$26, IF('MID-FINAL'!#REF!="BLENDED",SETTINGS!$F$34, IF('MID-FINAL'!#REF!="MODULAR",SETTINGS!$F$42))))</f>
        <v>#REF!</v>
      </c>
      <c r="AA43" s="82"/>
      <c r="AB43" s="83">
        <f t="shared" si="15"/>
        <v>50</v>
      </c>
      <c r="AC43" s="12">
        <f>AB43*(0.01*IF(D43="lab",SETTINGS!$F$25,"0"))</f>
        <v>0</v>
      </c>
      <c r="AD43" s="9"/>
      <c r="AE43" s="8">
        <f t="shared" si="16"/>
        <v>50</v>
      </c>
      <c r="AF43" s="12">
        <f>AE43*(0.01*IF(D43="lab",SETTINGS!$F$26,SETTINGS!$F$32))</f>
        <v>0</v>
      </c>
      <c r="AG43" s="13">
        <f t="shared" si="17"/>
        <v>0</v>
      </c>
      <c r="AI43" s="9"/>
      <c r="AJ43" s="5"/>
      <c r="AK43" s="5"/>
      <c r="AL43" s="5"/>
      <c r="AM43" s="5"/>
      <c r="AN43" s="8">
        <f t="shared" si="12"/>
        <v>0</v>
      </c>
      <c r="AO43" s="8">
        <f t="shared" si="4"/>
        <v>50</v>
      </c>
      <c r="AP43" s="12">
        <f>AO43*(0.01*IF(D43="lab",SETTINGS!$F$22,SETTINGS!$F$29))</f>
        <v>0</v>
      </c>
      <c r="AQ43" s="9"/>
      <c r="AR43" s="9"/>
      <c r="AS43" s="5"/>
      <c r="AT43" s="5"/>
      <c r="AU43" s="5"/>
      <c r="AV43" s="8">
        <f t="shared" si="13"/>
        <v>0</v>
      </c>
      <c r="AW43" s="8">
        <f t="shared" si="5"/>
        <v>50</v>
      </c>
      <c r="AX43" s="12">
        <f>AW43*(0.01*IF(D43="lab",SETTINGS!$F$23,SETTINGS!$F$30))</f>
        <v>0</v>
      </c>
      <c r="AY43" s="9">
        <f>ATT!AJ42</f>
        <v>100</v>
      </c>
      <c r="AZ43" s="12">
        <f>AY43*(0.01*IF(D43="lab",SETTINGS!$F$21,SETTINGS!$F$28))</f>
        <v>0</v>
      </c>
      <c r="BA43" s="9">
        <v>100</v>
      </c>
      <c r="BB43" s="12">
        <f>BA43*(0.01*IF(D43="lab",SETTINGS!$F$24,SETTINGS!$F$31))</f>
        <v>0</v>
      </c>
      <c r="BC43" s="71"/>
      <c r="BD43" s="8">
        <f t="shared" si="6"/>
        <v>50</v>
      </c>
      <c r="BE43" s="12">
        <f>BD43*(0.01*IF(D43="lab",SETTINGS!$F$25,"0"))</f>
        <v>0</v>
      </c>
      <c r="BF43" s="5"/>
      <c r="BG43" s="8">
        <f t="shared" si="7"/>
        <v>50</v>
      </c>
      <c r="BH43" s="12">
        <f>BG43*(0.01*IF(D43="lab",SETTINGS!$F$26,SETTINGS!$F$32))</f>
        <v>0</v>
      </c>
      <c r="BI43" s="13">
        <f t="shared" si="9"/>
        <v>0</v>
      </c>
      <c r="BJ43" s="60"/>
    </row>
    <row r="44" spans="2:62" x14ac:dyDescent="0.25">
      <c r="B44" s="6">
        <v>38</v>
      </c>
      <c r="C44" s="76">
        <f>SETTINGS!C47</f>
        <v>0</v>
      </c>
      <c r="D44" s="81" t="s">
        <v>81</v>
      </c>
      <c r="E44" s="9"/>
      <c r="F44" s="5"/>
      <c r="G44" s="5"/>
      <c r="H44" s="5"/>
      <c r="I44" s="5"/>
      <c r="J44" s="8">
        <f t="shared" si="10"/>
        <v>0</v>
      </c>
      <c r="K44" s="8">
        <f t="shared" si="8"/>
        <v>50</v>
      </c>
      <c r="L44" s="12">
        <f>K44*(0.01*IF(D44="lab",SETTINGS!$F$22,SETTINGS!$F$29))</f>
        <v>0</v>
      </c>
      <c r="M44" s="9"/>
      <c r="N44" s="9"/>
      <c r="O44" s="9"/>
      <c r="P44" s="5"/>
      <c r="Q44" s="5"/>
      <c r="R44" s="8">
        <f t="shared" si="11"/>
        <v>0</v>
      </c>
      <c r="S44" s="11">
        <f t="shared" si="14"/>
        <v>50</v>
      </c>
      <c r="T44" s="12">
        <f>S44*(0.01*IF(D44="lab",SETTINGS!$F$23,SETTINGS!$F$30))</f>
        <v>0</v>
      </c>
      <c r="U44" s="9">
        <f>ATT!S43</f>
        <v>100</v>
      </c>
      <c r="V44" s="12">
        <f>U44*(0.01*IF(D44="lab",SETTINGS!$F$21,SETTINGS!$F$28))</f>
        <v>0</v>
      </c>
      <c r="W44" s="9">
        <v>100</v>
      </c>
      <c r="X44" s="12">
        <f>W44*(0.01*IF(D44="lab",SETTINGS!$F$24,SETTINGS!$F$31))</f>
        <v>0</v>
      </c>
      <c r="Y44" s="71">
        <v>0</v>
      </c>
      <c r="Z44" s="12" t="e">
        <f>Y44*(0.01*IF(#REF!="ONLINE", SETTINGS!$F$26, IF('MID-FINAL'!#REF!="BLENDED",SETTINGS!$F$34, IF('MID-FINAL'!#REF!="MODULAR",SETTINGS!$F$42))))</f>
        <v>#REF!</v>
      </c>
      <c r="AA44" s="82"/>
      <c r="AB44" s="83">
        <f t="shared" si="15"/>
        <v>50</v>
      </c>
      <c r="AC44" s="12">
        <f>AB44*(0.01*IF(D44="lab",SETTINGS!$F$25,"0"))</f>
        <v>0</v>
      </c>
      <c r="AD44" s="9"/>
      <c r="AE44" s="8">
        <f t="shared" si="16"/>
        <v>50</v>
      </c>
      <c r="AF44" s="12">
        <f>AE44*(0.01*IF(D44="lab",SETTINGS!$F$26,SETTINGS!$F$32))</f>
        <v>0</v>
      </c>
      <c r="AG44" s="13">
        <f t="shared" si="17"/>
        <v>0</v>
      </c>
      <c r="AI44" s="9"/>
      <c r="AJ44" s="5"/>
      <c r="AK44" s="5"/>
      <c r="AL44" s="5"/>
      <c r="AM44" s="5"/>
      <c r="AN44" s="8">
        <f t="shared" si="12"/>
        <v>0</v>
      </c>
      <c r="AO44" s="8">
        <f t="shared" si="4"/>
        <v>50</v>
      </c>
      <c r="AP44" s="12">
        <f>AO44*(0.01*IF(D44="lab",SETTINGS!$F$22,SETTINGS!$F$29))</f>
        <v>0</v>
      </c>
      <c r="AQ44" s="9"/>
      <c r="AR44" s="9"/>
      <c r="AS44" s="5"/>
      <c r="AT44" s="5"/>
      <c r="AU44" s="5"/>
      <c r="AV44" s="8">
        <f t="shared" si="13"/>
        <v>0</v>
      </c>
      <c r="AW44" s="8">
        <f t="shared" si="5"/>
        <v>50</v>
      </c>
      <c r="AX44" s="12">
        <f>AW44*(0.01*IF(D44="lab",SETTINGS!$F$23,SETTINGS!$F$30))</f>
        <v>0</v>
      </c>
      <c r="AY44" s="9">
        <f>ATT!AJ43</f>
        <v>100</v>
      </c>
      <c r="AZ44" s="12">
        <f>AY44*(0.01*IF(D44="lab",SETTINGS!$F$21,SETTINGS!$F$28))</f>
        <v>0</v>
      </c>
      <c r="BA44" s="9">
        <v>100</v>
      </c>
      <c r="BB44" s="12">
        <f>BA44*(0.01*IF(D44="lab",SETTINGS!$F$24,SETTINGS!$F$31))</f>
        <v>0</v>
      </c>
      <c r="BC44" s="71"/>
      <c r="BD44" s="8">
        <f t="shared" si="6"/>
        <v>50</v>
      </c>
      <c r="BE44" s="12">
        <f>BD44*(0.01*IF(D44="lab",SETTINGS!$F$25,"0"))</f>
        <v>0</v>
      </c>
      <c r="BF44" s="5"/>
      <c r="BG44" s="8">
        <f t="shared" si="7"/>
        <v>50</v>
      </c>
      <c r="BH44" s="12">
        <f>BG44*(0.01*IF(D44="lab",SETTINGS!$F$26,SETTINGS!$F$32))</f>
        <v>0</v>
      </c>
      <c r="BI44" s="13">
        <f t="shared" si="9"/>
        <v>0</v>
      </c>
      <c r="BJ44" s="60"/>
    </row>
    <row r="45" spans="2:62" x14ac:dyDescent="0.25">
      <c r="B45" s="6">
        <v>39</v>
      </c>
      <c r="C45" s="76">
        <f>SETTINGS!C48</f>
        <v>0</v>
      </c>
      <c r="D45" s="81" t="s">
        <v>81</v>
      </c>
      <c r="E45" s="9"/>
      <c r="F45" s="5"/>
      <c r="G45" s="5"/>
      <c r="H45" s="5"/>
      <c r="I45" s="5"/>
      <c r="J45" s="8">
        <f t="shared" si="10"/>
        <v>0</v>
      </c>
      <c r="K45" s="8">
        <f t="shared" si="8"/>
        <v>50</v>
      </c>
      <c r="L45" s="12">
        <f>K45*(0.01*IF(D45="lab",SETTINGS!$F$22,SETTINGS!$F$29))</f>
        <v>0</v>
      </c>
      <c r="M45" s="9"/>
      <c r="N45" s="9"/>
      <c r="O45" s="9"/>
      <c r="P45" s="5"/>
      <c r="Q45" s="5"/>
      <c r="R45" s="8">
        <f t="shared" si="11"/>
        <v>0</v>
      </c>
      <c r="S45" s="11">
        <f t="shared" si="14"/>
        <v>50</v>
      </c>
      <c r="T45" s="12">
        <f>S45*(0.01*IF(D45="lab",SETTINGS!$F$23,SETTINGS!$F$30))</f>
        <v>0</v>
      </c>
      <c r="U45" s="9">
        <f>ATT!S44</f>
        <v>100</v>
      </c>
      <c r="V45" s="12">
        <f>U45*(0.01*IF(D45="lab",SETTINGS!$F$21,SETTINGS!$F$28))</f>
        <v>0</v>
      </c>
      <c r="W45" s="9">
        <v>100</v>
      </c>
      <c r="X45" s="12">
        <f>W45*(0.01*IF(D45="lab",SETTINGS!$F$24,SETTINGS!$F$31))</f>
        <v>0</v>
      </c>
      <c r="Y45" s="71">
        <v>0</v>
      </c>
      <c r="Z45" s="12" t="e">
        <f>Y45*(0.01*IF(#REF!="ONLINE", SETTINGS!$F$26, IF('MID-FINAL'!#REF!="BLENDED",SETTINGS!$F$34, IF('MID-FINAL'!#REF!="MODULAR",SETTINGS!$F$42))))</f>
        <v>#REF!</v>
      </c>
      <c r="AA45" s="82"/>
      <c r="AB45" s="83">
        <f t="shared" si="15"/>
        <v>50</v>
      </c>
      <c r="AC45" s="12">
        <f>AB45*(0.01*IF(D45="lab",SETTINGS!$F$25,"0"))</f>
        <v>0</v>
      </c>
      <c r="AD45" s="9"/>
      <c r="AE45" s="8">
        <f t="shared" si="16"/>
        <v>50</v>
      </c>
      <c r="AF45" s="12">
        <f>AE45*(0.01*IF(D45="lab",SETTINGS!$F$26,SETTINGS!$F$32))</f>
        <v>0</v>
      </c>
      <c r="AG45" s="13">
        <f t="shared" si="17"/>
        <v>0</v>
      </c>
      <c r="AI45" s="9"/>
      <c r="AJ45" s="5"/>
      <c r="AK45" s="5"/>
      <c r="AL45" s="5"/>
      <c r="AM45" s="5"/>
      <c r="AN45" s="8">
        <f t="shared" si="12"/>
        <v>0</v>
      </c>
      <c r="AO45" s="8">
        <f t="shared" si="4"/>
        <v>50</v>
      </c>
      <c r="AP45" s="12">
        <f>AO45*(0.01*IF(D45="lab",SETTINGS!$F$22,SETTINGS!$F$29))</f>
        <v>0</v>
      </c>
      <c r="AQ45" s="9"/>
      <c r="AR45" s="9"/>
      <c r="AS45" s="5"/>
      <c r="AT45" s="5"/>
      <c r="AU45" s="5"/>
      <c r="AV45" s="8">
        <f t="shared" si="13"/>
        <v>0</v>
      </c>
      <c r="AW45" s="8">
        <f t="shared" si="5"/>
        <v>50</v>
      </c>
      <c r="AX45" s="12">
        <f>AW45*(0.01*IF(D45="lab",SETTINGS!$F$23,SETTINGS!$F$30))</f>
        <v>0</v>
      </c>
      <c r="AY45" s="9">
        <f>ATT!AJ44</f>
        <v>100</v>
      </c>
      <c r="AZ45" s="12">
        <f>AY45*(0.01*IF(D45="lab",SETTINGS!$F$21,SETTINGS!$F$28))</f>
        <v>0</v>
      </c>
      <c r="BA45" s="9">
        <v>100</v>
      </c>
      <c r="BB45" s="12">
        <f>BA45*(0.01*IF(D45="lab",SETTINGS!$F$24,SETTINGS!$F$31))</f>
        <v>0</v>
      </c>
      <c r="BC45" s="71"/>
      <c r="BD45" s="8">
        <f t="shared" si="6"/>
        <v>50</v>
      </c>
      <c r="BE45" s="12">
        <f>BD45*(0.01*IF(D45="lab",SETTINGS!$F$25,"0"))</f>
        <v>0</v>
      </c>
      <c r="BF45" s="5"/>
      <c r="BG45" s="8">
        <f t="shared" si="7"/>
        <v>50</v>
      </c>
      <c r="BH45" s="12">
        <f>BG45*(0.01*IF(D45="lab",SETTINGS!$F$26,SETTINGS!$F$32))</f>
        <v>0</v>
      </c>
      <c r="BI45" s="13">
        <f t="shared" si="9"/>
        <v>0</v>
      </c>
      <c r="BJ45" s="60"/>
    </row>
    <row r="46" spans="2:62" x14ac:dyDescent="0.25">
      <c r="B46" s="6">
        <v>40</v>
      </c>
      <c r="C46" s="76">
        <f>SETTINGS!C49</f>
        <v>0</v>
      </c>
      <c r="D46" s="81" t="s">
        <v>81</v>
      </c>
      <c r="E46" s="9"/>
      <c r="F46" s="5"/>
      <c r="G46" s="5"/>
      <c r="H46" s="5"/>
      <c r="I46" s="5"/>
      <c r="J46" s="8">
        <f t="shared" si="10"/>
        <v>0</v>
      </c>
      <c r="K46" s="8">
        <f t="shared" si="8"/>
        <v>50</v>
      </c>
      <c r="L46" s="12">
        <f>K46*(0.01*IF(D46="lab",SETTINGS!$F$22,SETTINGS!$F$29))</f>
        <v>0</v>
      </c>
      <c r="M46" s="9"/>
      <c r="N46" s="9"/>
      <c r="O46" s="9"/>
      <c r="P46" s="5"/>
      <c r="Q46" s="5"/>
      <c r="R46" s="8">
        <f t="shared" si="11"/>
        <v>0</v>
      </c>
      <c r="S46" s="11">
        <f t="shared" si="14"/>
        <v>50</v>
      </c>
      <c r="T46" s="12">
        <f>S46*(0.01*IF(D46="lab",SETTINGS!$F$23,SETTINGS!$F$30))</f>
        <v>0</v>
      </c>
      <c r="U46" s="9">
        <f>ATT!S45</f>
        <v>100</v>
      </c>
      <c r="V46" s="12">
        <f>U46*(0.01*IF(D46="lab",SETTINGS!$F$21,SETTINGS!$F$28))</f>
        <v>0</v>
      </c>
      <c r="W46" s="9">
        <v>100</v>
      </c>
      <c r="X46" s="12">
        <f>W46*(0.01*IF(D46="lab",SETTINGS!$F$24,SETTINGS!$F$31))</f>
        <v>0</v>
      </c>
      <c r="Y46" s="71">
        <v>0</v>
      </c>
      <c r="Z46" s="12" t="e">
        <f>Y46*(0.01*IF(#REF!="ONLINE", SETTINGS!$F$26, IF('MID-FINAL'!#REF!="BLENDED",SETTINGS!$F$34, IF('MID-FINAL'!#REF!="MODULAR",SETTINGS!$F$42))))</f>
        <v>#REF!</v>
      </c>
      <c r="AA46" s="82"/>
      <c r="AB46" s="83">
        <f t="shared" si="15"/>
        <v>50</v>
      </c>
      <c r="AC46" s="12">
        <f>AB46*(0.01*IF(D46="lab",SETTINGS!$F$25,"0"))</f>
        <v>0</v>
      </c>
      <c r="AD46" s="9"/>
      <c r="AE46" s="8">
        <f t="shared" si="16"/>
        <v>50</v>
      </c>
      <c r="AF46" s="12">
        <f>AE46*(0.01*IF(D46="lab",SETTINGS!$F$26,SETTINGS!$F$32))</f>
        <v>0</v>
      </c>
      <c r="AG46" s="13">
        <f t="shared" si="17"/>
        <v>0</v>
      </c>
      <c r="AI46" s="9"/>
      <c r="AJ46" s="5"/>
      <c r="AK46" s="5"/>
      <c r="AL46" s="5"/>
      <c r="AM46" s="5"/>
      <c r="AN46" s="8">
        <f t="shared" si="12"/>
        <v>0</v>
      </c>
      <c r="AO46" s="8">
        <f t="shared" si="4"/>
        <v>50</v>
      </c>
      <c r="AP46" s="12">
        <f>AO46*(0.01*IF(D46="lab",SETTINGS!$F$22,SETTINGS!$F$29))</f>
        <v>0</v>
      </c>
      <c r="AQ46" s="9"/>
      <c r="AR46" s="9"/>
      <c r="AS46" s="5"/>
      <c r="AT46" s="5"/>
      <c r="AU46" s="5"/>
      <c r="AV46" s="8">
        <f t="shared" si="13"/>
        <v>0</v>
      </c>
      <c r="AW46" s="8">
        <f t="shared" si="5"/>
        <v>50</v>
      </c>
      <c r="AX46" s="12">
        <f>AW46*(0.01*IF(D46="lab",SETTINGS!$F$23,SETTINGS!$F$30))</f>
        <v>0</v>
      </c>
      <c r="AY46" s="9">
        <f>ATT!AJ45</f>
        <v>100</v>
      </c>
      <c r="AZ46" s="12">
        <f>AY46*(0.01*IF(D46="lab",SETTINGS!$F$21,SETTINGS!$F$28))</f>
        <v>0</v>
      </c>
      <c r="BA46" s="9">
        <v>100</v>
      </c>
      <c r="BB46" s="12">
        <f>BA46*(0.01*IF(D46="lab",SETTINGS!$F$24,SETTINGS!$F$31))</f>
        <v>0</v>
      </c>
      <c r="BC46" s="71"/>
      <c r="BD46" s="8">
        <f t="shared" si="6"/>
        <v>50</v>
      </c>
      <c r="BE46" s="12">
        <f>BD46*(0.01*IF(D46="lab",SETTINGS!$F$25,"0"))</f>
        <v>0</v>
      </c>
      <c r="BF46" s="5"/>
      <c r="BG46" s="8">
        <f t="shared" si="7"/>
        <v>50</v>
      </c>
      <c r="BH46" s="12">
        <f>BG46*(0.01*IF(D46="lab",SETTINGS!$F$26,SETTINGS!$F$32))</f>
        <v>0</v>
      </c>
      <c r="BI46" s="13">
        <f t="shared" si="9"/>
        <v>0</v>
      </c>
      <c r="BJ46" s="60"/>
    </row>
    <row r="47" spans="2:62" x14ac:dyDescent="0.25">
      <c r="B47" s="6">
        <v>41</v>
      </c>
      <c r="C47" s="76">
        <f>SETTINGS!C50</f>
        <v>0</v>
      </c>
      <c r="D47" s="81" t="s">
        <v>81</v>
      </c>
      <c r="E47" s="9"/>
      <c r="F47" s="5"/>
      <c r="G47" s="5"/>
      <c r="H47" s="5"/>
      <c r="I47" s="5"/>
      <c r="J47" s="8">
        <f t="shared" si="10"/>
        <v>0</v>
      </c>
      <c r="K47" s="8">
        <f t="shared" si="8"/>
        <v>50</v>
      </c>
      <c r="L47" s="12">
        <f>K47*(0.01*IF(D47="lab",SETTINGS!$F$22,SETTINGS!$F$29))</f>
        <v>0</v>
      </c>
      <c r="M47" s="9"/>
      <c r="N47" s="9"/>
      <c r="O47" s="9"/>
      <c r="P47" s="5"/>
      <c r="Q47" s="5"/>
      <c r="R47" s="8">
        <f t="shared" si="11"/>
        <v>0</v>
      </c>
      <c r="S47" s="11">
        <f t="shared" si="14"/>
        <v>50</v>
      </c>
      <c r="T47" s="12">
        <f>S47*(0.01*IF(D47="lab",SETTINGS!$F$23,SETTINGS!$F$30))</f>
        <v>0</v>
      </c>
      <c r="U47" s="9">
        <f>ATT!S46</f>
        <v>100</v>
      </c>
      <c r="V47" s="12">
        <f>U47*(0.01*IF(D47="lab",SETTINGS!$F$21,SETTINGS!$F$28))</f>
        <v>0</v>
      </c>
      <c r="W47" s="9">
        <v>100</v>
      </c>
      <c r="X47" s="12">
        <f>W47*(0.01*IF(D47="lab",SETTINGS!$F$24,SETTINGS!$F$31))</f>
        <v>0</v>
      </c>
      <c r="Y47" s="71">
        <v>0</v>
      </c>
      <c r="Z47" s="12" t="e">
        <f>Y47*(0.01*IF(#REF!="ONLINE", SETTINGS!$F$26, IF('MID-FINAL'!#REF!="BLENDED",SETTINGS!$F$34, IF('MID-FINAL'!#REF!="MODULAR",SETTINGS!$F$42))))</f>
        <v>#REF!</v>
      </c>
      <c r="AA47" s="82"/>
      <c r="AB47" s="83">
        <f t="shared" si="15"/>
        <v>50</v>
      </c>
      <c r="AC47" s="12">
        <f>AB47*(0.01*IF(D47="lab",SETTINGS!$F$25,"0"))</f>
        <v>0</v>
      </c>
      <c r="AD47" s="9"/>
      <c r="AE47" s="8">
        <f t="shared" si="16"/>
        <v>50</v>
      </c>
      <c r="AF47" s="12">
        <f>AE47*(0.01*IF(D47="lab",SETTINGS!$F$26,SETTINGS!$F$32))</f>
        <v>0</v>
      </c>
      <c r="AG47" s="13">
        <f t="shared" si="17"/>
        <v>0</v>
      </c>
      <c r="AI47" s="9"/>
      <c r="AJ47" s="5"/>
      <c r="AK47" s="5"/>
      <c r="AL47" s="5"/>
      <c r="AM47" s="5"/>
      <c r="AN47" s="8">
        <f t="shared" si="12"/>
        <v>0</v>
      </c>
      <c r="AO47" s="8">
        <f t="shared" si="4"/>
        <v>50</v>
      </c>
      <c r="AP47" s="12">
        <f>AO47*(0.01*IF(D47="lab",SETTINGS!$F$22,SETTINGS!$F$29))</f>
        <v>0</v>
      </c>
      <c r="AQ47" s="9"/>
      <c r="AR47" s="9"/>
      <c r="AS47" s="5"/>
      <c r="AT47" s="5"/>
      <c r="AU47" s="5"/>
      <c r="AV47" s="8">
        <f t="shared" si="13"/>
        <v>0</v>
      </c>
      <c r="AW47" s="8">
        <f t="shared" si="5"/>
        <v>50</v>
      </c>
      <c r="AX47" s="12">
        <f>AW47*(0.01*IF(D47="lab",SETTINGS!$F$23,SETTINGS!$F$30))</f>
        <v>0</v>
      </c>
      <c r="AY47" s="9">
        <f>ATT!AJ46</f>
        <v>100</v>
      </c>
      <c r="AZ47" s="12">
        <f>AY47*(0.01*IF(D47="lab",SETTINGS!$F$21,SETTINGS!$F$28))</f>
        <v>0</v>
      </c>
      <c r="BA47" s="9">
        <v>100</v>
      </c>
      <c r="BB47" s="12">
        <f>BA47*(0.01*IF(D47="lab",SETTINGS!$F$24,SETTINGS!$F$31))</f>
        <v>0</v>
      </c>
      <c r="BC47" s="71"/>
      <c r="BD47" s="8">
        <f t="shared" si="6"/>
        <v>50</v>
      </c>
      <c r="BE47" s="12">
        <f>BD47*(0.01*IF(D47="lab",SETTINGS!$F$25,"0"))</f>
        <v>0</v>
      </c>
      <c r="BF47" s="5"/>
      <c r="BG47" s="8">
        <f t="shared" si="7"/>
        <v>50</v>
      </c>
      <c r="BH47" s="12">
        <f>BG47*(0.01*IF(D47="lab",SETTINGS!$F$26,SETTINGS!$F$32))</f>
        <v>0</v>
      </c>
      <c r="BI47" s="13">
        <f t="shared" si="9"/>
        <v>0</v>
      </c>
      <c r="BJ47" s="60"/>
    </row>
    <row r="48" spans="2:62" x14ac:dyDescent="0.25">
      <c r="B48" s="6">
        <v>42</v>
      </c>
      <c r="C48" s="76">
        <f>SETTINGS!C51</f>
        <v>0</v>
      </c>
      <c r="D48" s="81" t="s">
        <v>81</v>
      </c>
      <c r="E48" s="9"/>
      <c r="F48" s="5"/>
      <c r="G48" s="5"/>
      <c r="H48" s="5"/>
      <c r="I48" s="5"/>
      <c r="J48" s="8">
        <f t="shared" si="10"/>
        <v>0</v>
      </c>
      <c r="K48" s="8">
        <f t="shared" si="8"/>
        <v>50</v>
      </c>
      <c r="L48" s="12">
        <f>K48*(0.01*IF(D48="lab",SETTINGS!$F$22,SETTINGS!$F$29))</f>
        <v>0</v>
      </c>
      <c r="M48" s="9"/>
      <c r="N48" s="9"/>
      <c r="O48" s="9"/>
      <c r="P48" s="5"/>
      <c r="Q48" s="5"/>
      <c r="R48" s="8">
        <f t="shared" si="11"/>
        <v>0</v>
      </c>
      <c r="S48" s="11">
        <f t="shared" si="14"/>
        <v>50</v>
      </c>
      <c r="T48" s="12">
        <f>S48*(0.01*IF(D48="lab",SETTINGS!$F$23,SETTINGS!$F$30))</f>
        <v>0</v>
      </c>
      <c r="U48" s="9">
        <f>ATT!S47</f>
        <v>100</v>
      </c>
      <c r="V48" s="12">
        <f>U48*(0.01*IF(D48="lab",SETTINGS!$F$21,SETTINGS!$F$28))</f>
        <v>0</v>
      </c>
      <c r="W48" s="9">
        <v>100</v>
      </c>
      <c r="X48" s="12">
        <f>W48*(0.01*IF(D48="lab",SETTINGS!$F$24,SETTINGS!$F$31))</f>
        <v>0</v>
      </c>
      <c r="Y48" s="71">
        <v>0</v>
      </c>
      <c r="Z48" s="12" t="e">
        <f>Y48*(0.01*IF(#REF!="ONLINE", SETTINGS!$F$26, IF('MID-FINAL'!#REF!="BLENDED",SETTINGS!$F$34, IF('MID-FINAL'!#REF!="MODULAR",SETTINGS!$F$42))))</f>
        <v>#REF!</v>
      </c>
      <c r="AA48" s="82"/>
      <c r="AB48" s="83">
        <f t="shared" si="15"/>
        <v>50</v>
      </c>
      <c r="AC48" s="12">
        <f>AB48*(0.01*IF(D48="lab",SETTINGS!$F$25,"0"))</f>
        <v>0</v>
      </c>
      <c r="AD48" s="9"/>
      <c r="AE48" s="8">
        <f t="shared" si="16"/>
        <v>50</v>
      </c>
      <c r="AF48" s="12">
        <f>AE48*(0.01*IF(D48="lab",SETTINGS!$F$26,SETTINGS!$F$32))</f>
        <v>0</v>
      </c>
      <c r="AG48" s="13">
        <f t="shared" si="17"/>
        <v>0</v>
      </c>
      <c r="AI48" s="9"/>
      <c r="AJ48" s="5"/>
      <c r="AK48" s="5"/>
      <c r="AL48" s="5"/>
      <c r="AM48" s="5"/>
      <c r="AN48" s="8">
        <f t="shared" si="12"/>
        <v>0</v>
      </c>
      <c r="AO48" s="8">
        <f t="shared" si="4"/>
        <v>50</v>
      </c>
      <c r="AP48" s="12">
        <f>AO48*(0.01*IF(D48="lab",SETTINGS!$F$22,SETTINGS!$F$29))</f>
        <v>0</v>
      </c>
      <c r="AQ48" s="9"/>
      <c r="AR48" s="9"/>
      <c r="AS48" s="5"/>
      <c r="AT48" s="5"/>
      <c r="AU48" s="5"/>
      <c r="AV48" s="8">
        <f t="shared" si="13"/>
        <v>0</v>
      </c>
      <c r="AW48" s="8">
        <f t="shared" si="5"/>
        <v>50</v>
      </c>
      <c r="AX48" s="12">
        <f>AW48*(0.01*IF(D48="lab",SETTINGS!$F$23,SETTINGS!$F$30))</f>
        <v>0</v>
      </c>
      <c r="AY48" s="9">
        <f>ATT!AJ47</f>
        <v>100</v>
      </c>
      <c r="AZ48" s="12">
        <f>AY48*(0.01*IF(D48="lab",SETTINGS!$F$21,SETTINGS!$F$28))</f>
        <v>0</v>
      </c>
      <c r="BA48" s="9">
        <v>100</v>
      </c>
      <c r="BB48" s="12">
        <f>BA48*(0.01*IF(D48="lab",SETTINGS!$F$24,SETTINGS!$F$31))</f>
        <v>0</v>
      </c>
      <c r="BC48" s="71"/>
      <c r="BD48" s="8">
        <f t="shared" si="6"/>
        <v>50</v>
      </c>
      <c r="BE48" s="12">
        <f>BD48*(0.01*IF(D48="lab",SETTINGS!$F$25,"0"))</f>
        <v>0</v>
      </c>
      <c r="BF48" s="5"/>
      <c r="BG48" s="8">
        <f t="shared" si="7"/>
        <v>50</v>
      </c>
      <c r="BH48" s="12">
        <f>BG48*(0.01*IF(D48="lab",SETTINGS!$F$26,SETTINGS!$F$32))</f>
        <v>0</v>
      </c>
      <c r="BI48" s="13">
        <f t="shared" si="9"/>
        <v>0</v>
      </c>
      <c r="BJ48" s="60"/>
    </row>
    <row r="49" spans="2:62" x14ac:dyDescent="0.25">
      <c r="B49" s="6">
        <v>43</v>
      </c>
      <c r="C49" s="76">
        <f>SETTINGS!C52</f>
        <v>0</v>
      </c>
      <c r="D49" s="81" t="s">
        <v>81</v>
      </c>
      <c r="E49" s="9"/>
      <c r="F49" s="5"/>
      <c r="G49" s="5"/>
      <c r="H49" s="5"/>
      <c r="I49" s="5"/>
      <c r="J49" s="8">
        <f t="shared" si="10"/>
        <v>0</v>
      </c>
      <c r="K49" s="8">
        <f t="shared" si="8"/>
        <v>50</v>
      </c>
      <c r="L49" s="12">
        <f>K49*(0.01*IF(D49="lab",SETTINGS!$F$22,SETTINGS!$F$29))</f>
        <v>0</v>
      </c>
      <c r="M49" s="9"/>
      <c r="N49" s="9"/>
      <c r="O49" s="9"/>
      <c r="P49" s="5"/>
      <c r="Q49" s="5"/>
      <c r="R49" s="8">
        <f t="shared" si="11"/>
        <v>0</v>
      </c>
      <c r="S49" s="11">
        <f t="shared" si="14"/>
        <v>50</v>
      </c>
      <c r="T49" s="12">
        <f>S49*(0.01*IF(D49="lab",SETTINGS!$F$23,SETTINGS!$F$30))</f>
        <v>0</v>
      </c>
      <c r="U49" s="9">
        <f>ATT!S48</f>
        <v>100</v>
      </c>
      <c r="V49" s="12">
        <f>U49*(0.01*IF(D49="lab",SETTINGS!$F$21,SETTINGS!$F$28))</f>
        <v>0</v>
      </c>
      <c r="W49" s="9">
        <v>100</v>
      </c>
      <c r="X49" s="12">
        <f>W49*(0.01*IF(D49="lab",SETTINGS!$F$24,SETTINGS!$F$31))</f>
        <v>0</v>
      </c>
      <c r="Y49" s="71">
        <v>0</v>
      </c>
      <c r="Z49" s="12" t="e">
        <f>Y49*(0.01*IF(#REF!="ONLINE", SETTINGS!$F$26, IF('MID-FINAL'!#REF!="BLENDED",SETTINGS!$F$34, IF('MID-FINAL'!#REF!="MODULAR",SETTINGS!$F$42))))</f>
        <v>#REF!</v>
      </c>
      <c r="AA49" s="82"/>
      <c r="AB49" s="83">
        <f t="shared" si="15"/>
        <v>50</v>
      </c>
      <c r="AC49" s="12">
        <f>AB49*(0.01*IF(D49="lab",SETTINGS!$F$25,"0"))</f>
        <v>0</v>
      </c>
      <c r="AD49" s="9"/>
      <c r="AE49" s="8">
        <f t="shared" si="16"/>
        <v>50</v>
      </c>
      <c r="AF49" s="12">
        <f>AE49*(0.01*IF(D49="lab",SETTINGS!$F$26,SETTINGS!$F$32))</f>
        <v>0</v>
      </c>
      <c r="AG49" s="13">
        <f t="shared" si="17"/>
        <v>0</v>
      </c>
      <c r="AI49" s="9"/>
      <c r="AJ49" s="5"/>
      <c r="AK49" s="5"/>
      <c r="AL49" s="5"/>
      <c r="AM49" s="5"/>
      <c r="AN49" s="8">
        <f t="shared" si="12"/>
        <v>0</v>
      </c>
      <c r="AO49" s="8">
        <f t="shared" si="4"/>
        <v>50</v>
      </c>
      <c r="AP49" s="12">
        <f>AO49*(0.01*IF(D49="lab",SETTINGS!$F$22,SETTINGS!$F$29))</f>
        <v>0</v>
      </c>
      <c r="AQ49" s="9"/>
      <c r="AR49" s="9"/>
      <c r="AS49" s="5"/>
      <c r="AT49" s="5"/>
      <c r="AU49" s="5"/>
      <c r="AV49" s="8">
        <f t="shared" si="13"/>
        <v>0</v>
      </c>
      <c r="AW49" s="8">
        <f t="shared" si="5"/>
        <v>50</v>
      </c>
      <c r="AX49" s="12">
        <f>AW49*(0.01*IF(D49="lab",SETTINGS!$F$23,SETTINGS!$F$30))</f>
        <v>0</v>
      </c>
      <c r="AY49" s="9">
        <f>ATT!AJ48</f>
        <v>100</v>
      </c>
      <c r="AZ49" s="12">
        <f>AY49*(0.01*IF(D49="lab",SETTINGS!$F$21,SETTINGS!$F$28))</f>
        <v>0</v>
      </c>
      <c r="BA49" s="9">
        <v>100</v>
      </c>
      <c r="BB49" s="12">
        <f>BA49*(0.01*IF(D49="lab",SETTINGS!$F$24,SETTINGS!$F$31))</f>
        <v>0</v>
      </c>
      <c r="BC49" s="71"/>
      <c r="BD49" s="8">
        <f t="shared" si="6"/>
        <v>50</v>
      </c>
      <c r="BE49" s="12">
        <f>BD49*(0.01*IF(D49="lab",SETTINGS!$F$25,"0"))</f>
        <v>0</v>
      </c>
      <c r="BF49" s="5"/>
      <c r="BG49" s="8">
        <f t="shared" si="7"/>
        <v>50</v>
      </c>
      <c r="BH49" s="12">
        <f>BG49*(0.01*IF(D49="lab",SETTINGS!$F$26,SETTINGS!$F$32))</f>
        <v>0</v>
      </c>
      <c r="BI49" s="13">
        <f t="shared" si="9"/>
        <v>0</v>
      </c>
      <c r="BJ49" s="60"/>
    </row>
    <row r="50" spans="2:62" x14ac:dyDescent="0.25">
      <c r="B50" s="6">
        <v>44</v>
      </c>
      <c r="C50" s="76">
        <f>SETTINGS!C53</f>
        <v>0</v>
      </c>
      <c r="D50" s="81" t="s">
        <v>81</v>
      </c>
      <c r="E50" s="9"/>
      <c r="F50" s="5"/>
      <c r="G50" s="5"/>
      <c r="H50" s="5"/>
      <c r="I50" s="5"/>
      <c r="J50" s="8">
        <f t="shared" si="10"/>
        <v>0</v>
      </c>
      <c r="K50" s="8">
        <f t="shared" si="8"/>
        <v>50</v>
      </c>
      <c r="L50" s="12">
        <f>K50*(0.01*IF(D50="lab",SETTINGS!$F$22,SETTINGS!$F$29))</f>
        <v>0</v>
      </c>
      <c r="M50" s="9"/>
      <c r="N50" s="9"/>
      <c r="O50" s="9"/>
      <c r="P50" s="5"/>
      <c r="Q50" s="5"/>
      <c r="R50" s="8">
        <f t="shared" si="11"/>
        <v>0</v>
      </c>
      <c r="S50" s="11">
        <f t="shared" si="14"/>
        <v>50</v>
      </c>
      <c r="T50" s="12">
        <f>S50*(0.01*IF(D50="lab",SETTINGS!$F$23,SETTINGS!$F$30))</f>
        <v>0</v>
      </c>
      <c r="U50" s="9">
        <f>ATT!S49</f>
        <v>100</v>
      </c>
      <c r="V50" s="12">
        <f>U50*(0.01*IF(D50="lab",SETTINGS!$F$21,SETTINGS!$F$28))</f>
        <v>0</v>
      </c>
      <c r="W50" s="9">
        <v>100</v>
      </c>
      <c r="X50" s="12">
        <f>W50*(0.01*IF(D50="lab",SETTINGS!$F$24,SETTINGS!$F$31))</f>
        <v>0</v>
      </c>
      <c r="Y50" s="71">
        <v>0</v>
      </c>
      <c r="Z50" s="12" t="e">
        <f>Y50*(0.01*IF(#REF!="ONLINE", SETTINGS!$F$26, IF('MID-FINAL'!#REF!="BLENDED",SETTINGS!$F$34, IF('MID-FINAL'!#REF!="MODULAR",SETTINGS!$F$42))))</f>
        <v>#REF!</v>
      </c>
      <c r="AA50" s="82"/>
      <c r="AB50" s="83">
        <f t="shared" si="15"/>
        <v>50</v>
      </c>
      <c r="AC50" s="12">
        <f>AB50*(0.01*IF(D50="lab",SETTINGS!$F$25,"0"))</f>
        <v>0</v>
      </c>
      <c r="AD50" s="9"/>
      <c r="AE50" s="8">
        <f t="shared" si="16"/>
        <v>50</v>
      </c>
      <c r="AF50" s="12">
        <f>AE50*(0.01*IF(D50="lab",SETTINGS!$F$26,SETTINGS!$F$32))</f>
        <v>0</v>
      </c>
      <c r="AG50" s="13">
        <f t="shared" si="17"/>
        <v>0</v>
      </c>
      <c r="AI50" s="9"/>
      <c r="AJ50" s="5"/>
      <c r="AK50" s="5"/>
      <c r="AL50" s="5"/>
      <c r="AM50" s="5"/>
      <c r="AN50" s="8">
        <f t="shared" si="12"/>
        <v>0</v>
      </c>
      <c r="AO50" s="8">
        <f t="shared" si="4"/>
        <v>50</v>
      </c>
      <c r="AP50" s="12">
        <f>AO50*(0.01*IF(D50="lab",SETTINGS!$F$22,SETTINGS!$F$29))</f>
        <v>0</v>
      </c>
      <c r="AQ50" s="9"/>
      <c r="AR50" s="9"/>
      <c r="AS50" s="5"/>
      <c r="AT50" s="5"/>
      <c r="AU50" s="5"/>
      <c r="AV50" s="8">
        <f t="shared" si="13"/>
        <v>0</v>
      </c>
      <c r="AW50" s="8">
        <f t="shared" si="5"/>
        <v>50</v>
      </c>
      <c r="AX50" s="12">
        <f>AW50*(0.01*IF(D50="lab",SETTINGS!$F$23,SETTINGS!$F$30))</f>
        <v>0</v>
      </c>
      <c r="AY50" s="9">
        <f>ATT!AJ49</f>
        <v>100</v>
      </c>
      <c r="AZ50" s="12">
        <f>AY50*(0.01*IF(D50="lab",SETTINGS!$F$21,SETTINGS!$F$28))</f>
        <v>0</v>
      </c>
      <c r="BA50" s="9">
        <v>100</v>
      </c>
      <c r="BB50" s="12">
        <f>BA50*(0.01*IF(D50="lab",SETTINGS!$F$24,SETTINGS!$F$31))</f>
        <v>0</v>
      </c>
      <c r="BC50" s="71"/>
      <c r="BD50" s="8">
        <f t="shared" si="6"/>
        <v>50</v>
      </c>
      <c r="BE50" s="12">
        <f>BD50*(0.01*IF(D50="lab",SETTINGS!$F$25,"0"))</f>
        <v>0</v>
      </c>
      <c r="BF50" s="5"/>
      <c r="BG50" s="8">
        <f t="shared" si="7"/>
        <v>50</v>
      </c>
      <c r="BH50" s="12">
        <f>BG50*(0.01*IF(D50="lab",SETTINGS!$F$26,SETTINGS!$F$32))</f>
        <v>0</v>
      </c>
      <c r="BI50" s="13">
        <f t="shared" si="9"/>
        <v>0</v>
      </c>
      <c r="BJ50" s="60"/>
    </row>
    <row r="51" spans="2:62" x14ac:dyDescent="0.25">
      <c r="B51" s="6">
        <v>45</v>
      </c>
      <c r="C51" s="76">
        <f>SETTINGS!C54</f>
        <v>0</v>
      </c>
      <c r="D51" s="81" t="s">
        <v>81</v>
      </c>
      <c r="E51" s="9"/>
      <c r="F51" s="5"/>
      <c r="G51" s="5"/>
      <c r="H51" s="5"/>
      <c r="I51" s="5"/>
      <c r="J51" s="8">
        <f t="shared" si="10"/>
        <v>0</v>
      </c>
      <c r="K51" s="8">
        <f t="shared" si="8"/>
        <v>50</v>
      </c>
      <c r="L51" s="12">
        <f>K51*(0.01*IF(D51="lab",SETTINGS!$F$22,SETTINGS!$F$29))</f>
        <v>0</v>
      </c>
      <c r="M51" s="9"/>
      <c r="N51" s="9"/>
      <c r="O51" s="9"/>
      <c r="P51" s="5"/>
      <c r="Q51" s="5"/>
      <c r="R51" s="8">
        <f t="shared" si="11"/>
        <v>0</v>
      </c>
      <c r="S51" s="11">
        <f t="shared" si="14"/>
        <v>50</v>
      </c>
      <c r="T51" s="12">
        <f>S51*(0.01*IF(D51="lab",SETTINGS!$F$23,SETTINGS!$F$30))</f>
        <v>0</v>
      </c>
      <c r="U51" s="9">
        <f>ATT!S50</f>
        <v>100</v>
      </c>
      <c r="V51" s="12">
        <f>U51*(0.01*IF(D51="lab",SETTINGS!$F$21,SETTINGS!$F$28))</f>
        <v>0</v>
      </c>
      <c r="W51" s="9">
        <v>100</v>
      </c>
      <c r="X51" s="12">
        <f>W51*(0.01*IF(D51="lab",SETTINGS!$F$24,SETTINGS!$F$31))</f>
        <v>0</v>
      </c>
      <c r="Y51" s="71">
        <v>0</v>
      </c>
      <c r="Z51" s="12" t="e">
        <f>Y51*(0.01*IF(#REF!="ONLINE", SETTINGS!$F$26, IF('MID-FINAL'!#REF!="BLENDED",SETTINGS!$F$34, IF('MID-FINAL'!#REF!="MODULAR",SETTINGS!$F$42))))</f>
        <v>#REF!</v>
      </c>
      <c r="AA51" s="82"/>
      <c r="AB51" s="83">
        <f t="shared" si="15"/>
        <v>50</v>
      </c>
      <c r="AC51" s="12">
        <f>AB51*(0.01*IF(D51="lab",SETTINGS!$F$25,"0"))</f>
        <v>0</v>
      </c>
      <c r="AD51" s="9"/>
      <c r="AE51" s="8">
        <f t="shared" si="16"/>
        <v>50</v>
      </c>
      <c r="AF51" s="12">
        <f>AE51*(0.01*IF(D51="lab",SETTINGS!$F$26,SETTINGS!$F$32))</f>
        <v>0</v>
      </c>
      <c r="AG51" s="13">
        <f t="shared" si="17"/>
        <v>0</v>
      </c>
      <c r="AI51" s="9"/>
      <c r="AJ51" s="5"/>
      <c r="AK51" s="5"/>
      <c r="AL51" s="5"/>
      <c r="AM51" s="5"/>
      <c r="AN51" s="8">
        <f t="shared" si="12"/>
        <v>0</v>
      </c>
      <c r="AO51" s="8">
        <f t="shared" si="4"/>
        <v>50</v>
      </c>
      <c r="AP51" s="12">
        <f>AO51*(0.01*IF(D51="lab",SETTINGS!$F$22,SETTINGS!$F$29))</f>
        <v>0</v>
      </c>
      <c r="AQ51" s="9"/>
      <c r="AR51" s="9"/>
      <c r="AS51" s="5"/>
      <c r="AT51" s="5"/>
      <c r="AU51" s="5"/>
      <c r="AV51" s="8">
        <f t="shared" si="13"/>
        <v>0</v>
      </c>
      <c r="AW51" s="8">
        <f t="shared" si="5"/>
        <v>50</v>
      </c>
      <c r="AX51" s="12">
        <f>AW51*(0.01*IF(D51="lab",SETTINGS!$F$23,SETTINGS!$F$30))</f>
        <v>0</v>
      </c>
      <c r="AY51" s="9">
        <f>ATT!AJ50</f>
        <v>100</v>
      </c>
      <c r="AZ51" s="12">
        <f>AY51*(0.01*IF(D51="lab",SETTINGS!$F$21,SETTINGS!$F$28))</f>
        <v>0</v>
      </c>
      <c r="BA51" s="9">
        <v>100</v>
      </c>
      <c r="BB51" s="12">
        <f>BA51*(0.01*IF(D51="lab",SETTINGS!$F$24,SETTINGS!$F$31))</f>
        <v>0</v>
      </c>
      <c r="BC51" s="71"/>
      <c r="BD51" s="8">
        <f t="shared" si="6"/>
        <v>50</v>
      </c>
      <c r="BE51" s="12">
        <f>BD51*(0.01*IF(D51="lab",SETTINGS!$F$25,"0"))</f>
        <v>0</v>
      </c>
      <c r="BF51" s="5"/>
      <c r="BG51" s="8">
        <f t="shared" si="7"/>
        <v>50</v>
      </c>
      <c r="BH51" s="12">
        <f>BG51*(0.01*IF(D51="lab",SETTINGS!$F$26,SETTINGS!$F$32))</f>
        <v>0</v>
      </c>
      <c r="BI51" s="13">
        <f t="shared" si="9"/>
        <v>0</v>
      </c>
      <c r="BJ51" s="60"/>
    </row>
    <row r="52" spans="2:62" x14ac:dyDescent="0.25">
      <c r="B52" s="6">
        <v>46</v>
      </c>
      <c r="C52" s="76">
        <f>SETTINGS!C55</f>
        <v>0</v>
      </c>
      <c r="D52" s="81" t="s">
        <v>81</v>
      </c>
      <c r="E52" s="9"/>
      <c r="F52" s="5"/>
      <c r="G52" s="5"/>
      <c r="H52" s="5"/>
      <c r="I52" s="5"/>
      <c r="J52" s="8">
        <f t="shared" si="10"/>
        <v>0</v>
      </c>
      <c r="K52" s="8">
        <f t="shared" si="8"/>
        <v>50</v>
      </c>
      <c r="L52" s="12">
        <f>K52*(0.01*IF(D52="lab",SETTINGS!$F$22,SETTINGS!$F$29))</f>
        <v>0</v>
      </c>
      <c r="M52" s="9"/>
      <c r="N52" s="9"/>
      <c r="O52" s="9"/>
      <c r="P52" s="5"/>
      <c r="Q52" s="5"/>
      <c r="R52" s="8">
        <f t="shared" si="11"/>
        <v>0</v>
      </c>
      <c r="S52" s="11">
        <f t="shared" si="14"/>
        <v>50</v>
      </c>
      <c r="T52" s="12">
        <f>S52*(0.01*IF(D52="lab",SETTINGS!$F$23,SETTINGS!$F$30))</f>
        <v>0</v>
      </c>
      <c r="U52" s="9">
        <f>ATT!S51</f>
        <v>100</v>
      </c>
      <c r="V52" s="12">
        <f>U52*(0.01*IF(D52="lab",SETTINGS!$F$21,SETTINGS!$F$28))</f>
        <v>0</v>
      </c>
      <c r="W52" s="9">
        <v>100</v>
      </c>
      <c r="X52" s="12">
        <f>W52*(0.01*IF(D52="lab",SETTINGS!$F$24,SETTINGS!$F$31))</f>
        <v>0</v>
      </c>
      <c r="Y52" s="71">
        <v>0</v>
      </c>
      <c r="Z52" s="12" t="e">
        <f>Y52*(0.01*IF(#REF!="ONLINE", SETTINGS!$F$26, IF('MID-FINAL'!#REF!="BLENDED",SETTINGS!$F$34, IF('MID-FINAL'!#REF!="MODULAR",SETTINGS!$F$42))))</f>
        <v>#REF!</v>
      </c>
      <c r="AA52" s="82"/>
      <c r="AB52" s="83">
        <f t="shared" si="15"/>
        <v>50</v>
      </c>
      <c r="AC52" s="12">
        <f>AB52*(0.01*IF(D52="lab",SETTINGS!$F$25,"0"))</f>
        <v>0</v>
      </c>
      <c r="AD52" s="9"/>
      <c r="AE52" s="8">
        <f t="shared" si="16"/>
        <v>50</v>
      </c>
      <c r="AF52" s="12">
        <f>AE52*(0.01*IF(D52="lab",SETTINGS!$F$26,SETTINGS!$F$32))</f>
        <v>0</v>
      </c>
      <c r="AG52" s="13">
        <f t="shared" si="17"/>
        <v>0</v>
      </c>
      <c r="AI52" s="9"/>
      <c r="AJ52" s="5"/>
      <c r="AK52" s="5"/>
      <c r="AL52" s="5"/>
      <c r="AM52" s="5"/>
      <c r="AN52" s="8">
        <f t="shared" si="12"/>
        <v>0</v>
      </c>
      <c r="AO52" s="8">
        <f t="shared" si="4"/>
        <v>50</v>
      </c>
      <c r="AP52" s="12">
        <f>AO52*(0.01*IF(D52="lab",SETTINGS!$F$22,SETTINGS!$F$29))</f>
        <v>0</v>
      </c>
      <c r="AQ52" s="9"/>
      <c r="AR52" s="9"/>
      <c r="AS52" s="5"/>
      <c r="AT52" s="5"/>
      <c r="AU52" s="5"/>
      <c r="AV52" s="8">
        <f t="shared" si="13"/>
        <v>0</v>
      </c>
      <c r="AW52" s="8">
        <f t="shared" si="5"/>
        <v>50</v>
      </c>
      <c r="AX52" s="12">
        <f>AW52*(0.01*IF(D52="lab",SETTINGS!$F$23,SETTINGS!$F$30))</f>
        <v>0</v>
      </c>
      <c r="AY52" s="9">
        <f>ATT!AJ51</f>
        <v>100</v>
      </c>
      <c r="AZ52" s="12">
        <f>AY52*(0.01*IF(D52="lab",SETTINGS!$F$21,SETTINGS!$F$28))</f>
        <v>0</v>
      </c>
      <c r="BA52" s="9">
        <v>100</v>
      </c>
      <c r="BB52" s="12">
        <f>BA52*(0.01*IF(D52="lab",SETTINGS!$F$24,SETTINGS!$F$31))</f>
        <v>0</v>
      </c>
      <c r="BC52" s="71"/>
      <c r="BD52" s="8">
        <f t="shared" si="6"/>
        <v>50</v>
      </c>
      <c r="BE52" s="12">
        <f>BD52*(0.01*IF(D52="lab",SETTINGS!$F$25,"0"))</f>
        <v>0</v>
      </c>
      <c r="BF52" s="5"/>
      <c r="BG52" s="8">
        <f t="shared" si="7"/>
        <v>50</v>
      </c>
      <c r="BH52" s="12">
        <f>BG52*(0.01*IF(D52="lab",SETTINGS!$F$26,SETTINGS!$F$32))</f>
        <v>0</v>
      </c>
      <c r="BI52" s="13">
        <f t="shared" si="9"/>
        <v>0</v>
      </c>
      <c r="BJ52" s="60"/>
    </row>
    <row r="53" spans="2:62" x14ac:dyDescent="0.25">
      <c r="B53" s="6">
        <v>47</v>
      </c>
      <c r="C53" s="76">
        <f>SETTINGS!C56</f>
        <v>0</v>
      </c>
      <c r="D53" s="81" t="s">
        <v>81</v>
      </c>
      <c r="E53" s="9"/>
      <c r="F53" s="5"/>
      <c r="G53" s="5"/>
      <c r="H53" s="5"/>
      <c r="I53" s="5"/>
      <c r="J53" s="8">
        <f t="shared" si="10"/>
        <v>0</v>
      </c>
      <c r="K53" s="8">
        <f t="shared" si="8"/>
        <v>50</v>
      </c>
      <c r="L53" s="12">
        <f>K53*(0.01*IF(D53="lab",SETTINGS!$F$22,SETTINGS!$F$29))</f>
        <v>0</v>
      </c>
      <c r="M53" s="9"/>
      <c r="N53" s="9"/>
      <c r="O53" s="9"/>
      <c r="P53" s="5"/>
      <c r="Q53" s="5"/>
      <c r="R53" s="8">
        <f t="shared" si="11"/>
        <v>0</v>
      </c>
      <c r="S53" s="11">
        <f t="shared" si="14"/>
        <v>50</v>
      </c>
      <c r="T53" s="12">
        <f>S53*(0.01*IF(D53="lab",SETTINGS!$F$23,SETTINGS!$F$30))</f>
        <v>0</v>
      </c>
      <c r="U53" s="9">
        <f>ATT!S52</f>
        <v>100</v>
      </c>
      <c r="V53" s="12">
        <f>U53*(0.01*IF(D53="lab",SETTINGS!$F$21,SETTINGS!$F$28))</f>
        <v>0</v>
      </c>
      <c r="W53" s="9">
        <v>100</v>
      </c>
      <c r="X53" s="12">
        <f>W53*(0.01*IF(D53="lab",SETTINGS!$F$24,SETTINGS!$F$31))</f>
        <v>0</v>
      </c>
      <c r="Y53" s="71">
        <v>0</v>
      </c>
      <c r="Z53" s="12" t="e">
        <f>Y53*(0.01*IF(#REF!="ONLINE", SETTINGS!$F$26, IF('MID-FINAL'!#REF!="BLENDED",SETTINGS!$F$34, IF('MID-FINAL'!#REF!="MODULAR",SETTINGS!$F$42))))</f>
        <v>#REF!</v>
      </c>
      <c r="AA53" s="82"/>
      <c r="AB53" s="83">
        <f t="shared" si="15"/>
        <v>50</v>
      </c>
      <c r="AC53" s="12">
        <f>AB53*(0.01*IF(D53="lab",SETTINGS!$F$25,"0"))</f>
        <v>0</v>
      </c>
      <c r="AD53" s="9"/>
      <c r="AE53" s="8">
        <f t="shared" si="16"/>
        <v>50</v>
      </c>
      <c r="AF53" s="12">
        <f>AE53*(0.01*IF(D53="lab",SETTINGS!$F$26,SETTINGS!$F$32))</f>
        <v>0</v>
      </c>
      <c r="AG53" s="13">
        <f t="shared" si="17"/>
        <v>0</v>
      </c>
      <c r="AI53" s="9"/>
      <c r="AJ53" s="5"/>
      <c r="AK53" s="5"/>
      <c r="AL53" s="5"/>
      <c r="AM53" s="5"/>
      <c r="AN53" s="8">
        <f t="shared" si="12"/>
        <v>0</v>
      </c>
      <c r="AO53" s="8">
        <f t="shared" si="4"/>
        <v>50</v>
      </c>
      <c r="AP53" s="12">
        <f>AO53*(0.01*IF(D53="lab",SETTINGS!$F$22,SETTINGS!$F$29))</f>
        <v>0</v>
      </c>
      <c r="AQ53" s="9"/>
      <c r="AR53" s="9"/>
      <c r="AS53" s="5"/>
      <c r="AT53" s="5"/>
      <c r="AU53" s="5"/>
      <c r="AV53" s="8">
        <f t="shared" si="13"/>
        <v>0</v>
      </c>
      <c r="AW53" s="8">
        <f t="shared" si="5"/>
        <v>50</v>
      </c>
      <c r="AX53" s="12">
        <f>AW53*(0.01*IF(D53="lab",SETTINGS!$F$23,SETTINGS!$F$30))</f>
        <v>0</v>
      </c>
      <c r="AY53" s="9">
        <f>ATT!AJ52</f>
        <v>100</v>
      </c>
      <c r="AZ53" s="12">
        <f>AY53*(0.01*IF(D53="lab",SETTINGS!$F$21,SETTINGS!$F$28))</f>
        <v>0</v>
      </c>
      <c r="BA53" s="9">
        <v>100</v>
      </c>
      <c r="BB53" s="12">
        <f>BA53*(0.01*IF(D53="lab",SETTINGS!$F$24,SETTINGS!$F$31))</f>
        <v>0</v>
      </c>
      <c r="BC53" s="71"/>
      <c r="BD53" s="8">
        <f t="shared" si="6"/>
        <v>50</v>
      </c>
      <c r="BE53" s="12">
        <f>BD53*(0.01*IF(D53="lab",SETTINGS!$F$25,"0"))</f>
        <v>0</v>
      </c>
      <c r="BF53" s="5"/>
      <c r="BG53" s="8">
        <f t="shared" si="7"/>
        <v>50</v>
      </c>
      <c r="BH53" s="12">
        <f>BG53*(0.01*IF(D53="lab",SETTINGS!$F$26,SETTINGS!$F$32))</f>
        <v>0</v>
      </c>
      <c r="BI53" s="13">
        <f t="shared" si="9"/>
        <v>0</v>
      </c>
      <c r="BJ53" s="60"/>
    </row>
    <row r="54" spans="2:62" x14ac:dyDescent="0.25">
      <c r="B54" s="6">
        <v>48</v>
      </c>
      <c r="C54" s="76">
        <f>SETTINGS!C57</f>
        <v>0</v>
      </c>
      <c r="D54" s="81" t="s">
        <v>81</v>
      </c>
      <c r="E54" s="9"/>
      <c r="F54" s="5"/>
      <c r="G54" s="5"/>
      <c r="H54" s="5"/>
      <c r="I54" s="5"/>
      <c r="J54" s="8">
        <f t="shared" si="10"/>
        <v>0</v>
      </c>
      <c r="K54" s="8">
        <f t="shared" si="8"/>
        <v>50</v>
      </c>
      <c r="L54" s="12">
        <f>K54*(0.01*IF(D54="lab",SETTINGS!$F$22,SETTINGS!$F$29))</f>
        <v>0</v>
      </c>
      <c r="M54" s="9"/>
      <c r="N54" s="9"/>
      <c r="O54" s="9"/>
      <c r="P54" s="5"/>
      <c r="Q54" s="5"/>
      <c r="R54" s="8">
        <f t="shared" si="11"/>
        <v>0</v>
      </c>
      <c r="S54" s="11">
        <f t="shared" si="14"/>
        <v>50</v>
      </c>
      <c r="T54" s="12">
        <f>S54*(0.01*IF(D54="lab",SETTINGS!$F$23,SETTINGS!$F$30))</f>
        <v>0</v>
      </c>
      <c r="U54" s="9">
        <f>ATT!S53</f>
        <v>100</v>
      </c>
      <c r="V54" s="12">
        <f>U54*(0.01*IF(D54="lab",SETTINGS!$F$21,SETTINGS!$F$28))</f>
        <v>0</v>
      </c>
      <c r="W54" s="9">
        <v>100</v>
      </c>
      <c r="X54" s="12">
        <f>W54*(0.01*IF(D54="lab",SETTINGS!$F$24,SETTINGS!$F$31))</f>
        <v>0</v>
      </c>
      <c r="Y54" s="71">
        <v>0</v>
      </c>
      <c r="Z54" s="12" t="e">
        <f>Y54*(0.01*IF(#REF!="ONLINE", SETTINGS!$F$26, IF('MID-FINAL'!#REF!="BLENDED",SETTINGS!$F$34, IF('MID-FINAL'!#REF!="MODULAR",SETTINGS!$F$42))))</f>
        <v>#REF!</v>
      </c>
      <c r="AA54" s="82"/>
      <c r="AB54" s="83">
        <f t="shared" si="15"/>
        <v>50</v>
      </c>
      <c r="AC54" s="12">
        <f>AB54*(0.01*IF(D54="lab",SETTINGS!$F$25,"0"))</f>
        <v>0</v>
      </c>
      <c r="AD54" s="9"/>
      <c r="AE54" s="8">
        <f t="shared" si="16"/>
        <v>50</v>
      </c>
      <c r="AF54" s="12">
        <f>AE54*(0.01*IF(D54="lab",SETTINGS!$F$26,SETTINGS!$F$32))</f>
        <v>0</v>
      </c>
      <c r="AG54" s="13">
        <f t="shared" si="17"/>
        <v>0</v>
      </c>
      <c r="AI54" s="9"/>
      <c r="AJ54" s="5"/>
      <c r="AK54" s="5"/>
      <c r="AL54" s="5"/>
      <c r="AM54" s="5"/>
      <c r="AN54" s="8">
        <f t="shared" si="12"/>
        <v>0</v>
      </c>
      <c r="AO54" s="8">
        <f t="shared" si="4"/>
        <v>50</v>
      </c>
      <c r="AP54" s="12">
        <f>AO54*(0.01*IF(D54="lab",SETTINGS!$F$22,SETTINGS!$F$29))</f>
        <v>0</v>
      </c>
      <c r="AQ54" s="9"/>
      <c r="AR54" s="9"/>
      <c r="AS54" s="5"/>
      <c r="AT54" s="5"/>
      <c r="AU54" s="5"/>
      <c r="AV54" s="8">
        <f t="shared" si="13"/>
        <v>0</v>
      </c>
      <c r="AW54" s="8">
        <f t="shared" si="5"/>
        <v>50</v>
      </c>
      <c r="AX54" s="12">
        <f>AW54*(0.01*IF(D54="lab",SETTINGS!$F$23,SETTINGS!$F$30))</f>
        <v>0</v>
      </c>
      <c r="AY54" s="9">
        <f>ATT!AJ53</f>
        <v>100</v>
      </c>
      <c r="AZ54" s="12">
        <f>AY54*(0.01*IF(D54="lab",SETTINGS!$F$21,SETTINGS!$F$28))</f>
        <v>0</v>
      </c>
      <c r="BA54" s="9">
        <v>100</v>
      </c>
      <c r="BB54" s="12">
        <f>BA54*(0.01*IF(D54="lab",SETTINGS!$F$24,SETTINGS!$F$31))</f>
        <v>0</v>
      </c>
      <c r="BC54" s="71"/>
      <c r="BD54" s="8">
        <f t="shared" si="6"/>
        <v>50</v>
      </c>
      <c r="BE54" s="12">
        <f>BD54*(0.01*IF(D54="lab",SETTINGS!$F$25,"0"))</f>
        <v>0</v>
      </c>
      <c r="BF54" s="5"/>
      <c r="BG54" s="8">
        <f t="shared" si="7"/>
        <v>50</v>
      </c>
      <c r="BH54" s="12">
        <f>BG54*(0.01*IF(D54="lab",SETTINGS!$F$26,SETTINGS!$F$32))</f>
        <v>0</v>
      </c>
      <c r="BI54" s="13">
        <f t="shared" si="9"/>
        <v>0</v>
      </c>
      <c r="BJ54" s="60"/>
    </row>
    <row r="55" spans="2:62" x14ac:dyDescent="0.25">
      <c r="B55" s="6">
        <v>49</v>
      </c>
      <c r="C55" s="76">
        <f>SETTINGS!C58</f>
        <v>0</v>
      </c>
      <c r="D55" s="81" t="s">
        <v>81</v>
      </c>
      <c r="E55" s="9"/>
      <c r="F55" s="5"/>
      <c r="G55" s="5"/>
      <c r="H55" s="5"/>
      <c r="I55" s="5"/>
      <c r="J55" s="8">
        <f t="shared" si="10"/>
        <v>0</v>
      </c>
      <c r="K55" s="8">
        <f t="shared" si="8"/>
        <v>50</v>
      </c>
      <c r="L55" s="12">
        <f>K55*(0.01*IF(D55="lab",SETTINGS!$F$22,SETTINGS!$F$29))</f>
        <v>0</v>
      </c>
      <c r="M55" s="9"/>
      <c r="N55" s="9"/>
      <c r="O55" s="9"/>
      <c r="P55" s="5"/>
      <c r="Q55" s="5"/>
      <c r="R55" s="8">
        <f t="shared" si="11"/>
        <v>0</v>
      </c>
      <c r="S55" s="11">
        <f t="shared" si="14"/>
        <v>50</v>
      </c>
      <c r="T55" s="12">
        <f>S55*(0.01*IF(D55="lab",SETTINGS!$F$23,SETTINGS!$F$30))</f>
        <v>0</v>
      </c>
      <c r="U55" s="9">
        <f>ATT!S54</f>
        <v>100</v>
      </c>
      <c r="V55" s="12">
        <f>U55*(0.01*IF(D55="lab",SETTINGS!$F$21,SETTINGS!$F$28))</f>
        <v>0</v>
      </c>
      <c r="W55" s="9">
        <v>100</v>
      </c>
      <c r="X55" s="12">
        <f>W55*(0.01*IF(D55="lab",SETTINGS!$F$24,SETTINGS!$F$31))</f>
        <v>0</v>
      </c>
      <c r="Y55" s="71">
        <v>0</v>
      </c>
      <c r="Z55" s="12" t="e">
        <f>Y55*(0.01*IF(#REF!="ONLINE", SETTINGS!$F$26, IF('MID-FINAL'!#REF!="BLENDED",SETTINGS!$F$34, IF('MID-FINAL'!#REF!="MODULAR",SETTINGS!$F$42))))</f>
        <v>#REF!</v>
      </c>
      <c r="AA55" s="82"/>
      <c r="AB55" s="83">
        <f t="shared" si="15"/>
        <v>50</v>
      </c>
      <c r="AC55" s="12">
        <f>AB55*(0.01*IF(D55="lab",SETTINGS!$F$25,"0"))</f>
        <v>0</v>
      </c>
      <c r="AD55" s="9"/>
      <c r="AE55" s="8">
        <f t="shared" si="16"/>
        <v>50</v>
      </c>
      <c r="AF55" s="12">
        <f>AE55*(0.01*IF(D55="lab",SETTINGS!$F$26,SETTINGS!$F$32))</f>
        <v>0</v>
      </c>
      <c r="AG55" s="13">
        <f t="shared" si="17"/>
        <v>0</v>
      </c>
      <c r="AI55" s="9"/>
      <c r="AJ55" s="5"/>
      <c r="AK55" s="5"/>
      <c r="AL55" s="5"/>
      <c r="AM55" s="5"/>
      <c r="AN55" s="8">
        <f t="shared" si="12"/>
        <v>0</v>
      </c>
      <c r="AO55" s="8">
        <f t="shared" si="4"/>
        <v>50</v>
      </c>
      <c r="AP55" s="12">
        <f>AO55*(0.01*IF(D55="lab",SETTINGS!$F$22,SETTINGS!$F$29))</f>
        <v>0</v>
      </c>
      <c r="AQ55" s="9"/>
      <c r="AR55" s="9"/>
      <c r="AS55" s="5"/>
      <c r="AT55" s="5"/>
      <c r="AU55" s="5"/>
      <c r="AV55" s="8">
        <f t="shared" si="13"/>
        <v>0</v>
      </c>
      <c r="AW55" s="8">
        <f t="shared" si="5"/>
        <v>50</v>
      </c>
      <c r="AX55" s="12">
        <f>AW55*(0.01*IF(D55="lab",SETTINGS!$F$23,SETTINGS!$F$30))</f>
        <v>0</v>
      </c>
      <c r="AY55" s="9">
        <f>ATT!AJ54</f>
        <v>100</v>
      </c>
      <c r="AZ55" s="12">
        <f>AY55*(0.01*IF(D55="lab",SETTINGS!$F$21,SETTINGS!$F$28))</f>
        <v>0</v>
      </c>
      <c r="BA55" s="9">
        <v>100</v>
      </c>
      <c r="BB55" s="12">
        <f>BA55*(0.01*IF(D55="lab",SETTINGS!$F$24,SETTINGS!$F$31))</f>
        <v>0</v>
      </c>
      <c r="BC55" s="71"/>
      <c r="BD55" s="8">
        <f t="shared" si="6"/>
        <v>50</v>
      </c>
      <c r="BE55" s="12">
        <f>BD55*(0.01*IF(D55="lab",SETTINGS!$F$25,"0"))</f>
        <v>0</v>
      </c>
      <c r="BF55" s="5"/>
      <c r="BG55" s="8">
        <f t="shared" si="7"/>
        <v>50</v>
      </c>
      <c r="BH55" s="12">
        <f>BG55*(0.01*IF(D55="lab",SETTINGS!$F$26,SETTINGS!$F$32))</f>
        <v>0</v>
      </c>
      <c r="BI55" s="13">
        <f t="shared" si="9"/>
        <v>0</v>
      </c>
      <c r="BJ55" s="60"/>
    </row>
    <row r="56" spans="2:62" x14ac:dyDescent="0.25">
      <c r="B56" s="6">
        <v>50</v>
      </c>
      <c r="C56" s="76">
        <f>SETTINGS!C59</f>
        <v>0</v>
      </c>
      <c r="D56" s="81" t="s">
        <v>81</v>
      </c>
      <c r="E56" s="9"/>
      <c r="F56" s="5"/>
      <c r="G56" s="5"/>
      <c r="H56" s="5"/>
      <c r="I56" s="5"/>
      <c r="J56" s="8">
        <f t="shared" si="10"/>
        <v>0</v>
      </c>
      <c r="K56" s="8">
        <f t="shared" si="8"/>
        <v>50</v>
      </c>
      <c r="L56" s="12">
        <f>K56*(0.01*IF(D56="lab",SETTINGS!$F$22,SETTINGS!$F$29))</f>
        <v>0</v>
      </c>
      <c r="M56" s="9"/>
      <c r="N56" s="9"/>
      <c r="O56" s="9"/>
      <c r="P56" s="5"/>
      <c r="Q56" s="5"/>
      <c r="R56" s="8">
        <f t="shared" si="11"/>
        <v>0</v>
      </c>
      <c r="S56" s="11">
        <f t="shared" si="14"/>
        <v>50</v>
      </c>
      <c r="T56" s="12">
        <f>S56*(0.01*IF(D56="lab",SETTINGS!$F$23,SETTINGS!$F$30))</f>
        <v>0</v>
      </c>
      <c r="U56" s="9">
        <f>ATT!S55</f>
        <v>100</v>
      </c>
      <c r="V56" s="12">
        <f>U56*(0.01*IF(D56="lab",SETTINGS!$F$21,SETTINGS!$F$28))</f>
        <v>0</v>
      </c>
      <c r="W56" s="9">
        <v>100</v>
      </c>
      <c r="X56" s="12">
        <f>W56*(0.01*IF(D56="lab",SETTINGS!$F$24,SETTINGS!$F$31))</f>
        <v>0</v>
      </c>
      <c r="Y56" s="71">
        <v>0</v>
      </c>
      <c r="Z56" s="12" t="e">
        <f>Y56*(0.01*IF(#REF!="ONLINE", SETTINGS!$F$26, IF('MID-FINAL'!#REF!="BLENDED",SETTINGS!$F$34, IF('MID-FINAL'!#REF!="MODULAR",SETTINGS!$F$42))))</f>
        <v>#REF!</v>
      </c>
      <c r="AA56" s="82"/>
      <c r="AB56" s="83">
        <f t="shared" si="15"/>
        <v>50</v>
      </c>
      <c r="AC56" s="12">
        <f>AB56*(0.01*IF(D56="lab",SETTINGS!$F$25,"0"))</f>
        <v>0</v>
      </c>
      <c r="AD56" s="9"/>
      <c r="AE56" s="8">
        <f t="shared" si="16"/>
        <v>50</v>
      </c>
      <c r="AF56" s="12">
        <f>AE56*(0.01*IF(D56="lab",SETTINGS!$F$26,SETTINGS!$F$32))</f>
        <v>0</v>
      </c>
      <c r="AG56" s="13">
        <f t="shared" si="17"/>
        <v>0</v>
      </c>
      <c r="AI56" s="9"/>
      <c r="AJ56" s="5"/>
      <c r="AK56" s="5"/>
      <c r="AL56" s="5"/>
      <c r="AM56" s="5"/>
      <c r="AN56" s="8">
        <f t="shared" si="12"/>
        <v>0</v>
      </c>
      <c r="AO56" s="8">
        <f t="shared" si="4"/>
        <v>50</v>
      </c>
      <c r="AP56" s="12">
        <f>AO56*(0.01*IF(D56="lab",SETTINGS!$F$22,SETTINGS!$F$29))</f>
        <v>0</v>
      </c>
      <c r="AQ56" s="9"/>
      <c r="AR56" s="9"/>
      <c r="AS56" s="5"/>
      <c r="AT56" s="5"/>
      <c r="AU56" s="5"/>
      <c r="AV56" s="8">
        <f t="shared" si="13"/>
        <v>0</v>
      </c>
      <c r="AW56" s="8">
        <f t="shared" si="5"/>
        <v>50</v>
      </c>
      <c r="AX56" s="12">
        <f>AW56*(0.01*IF(D56="lab",SETTINGS!$F$23,SETTINGS!$F$30))</f>
        <v>0</v>
      </c>
      <c r="AY56" s="9">
        <f>ATT!AJ55</f>
        <v>100</v>
      </c>
      <c r="AZ56" s="12">
        <f>AY56*(0.01*IF(D56="lab",SETTINGS!$F$21,SETTINGS!$F$28))</f>
        <v>0</v>
      </c>
      <c r="BA56" s="9">
        <v>100</v>
      </c>
      <c r="BB56" s="12">
        <f>BA56*(0.01*IF(D56="lab",SETTINGS!$F$24,SETTINGS!$F$31))</f>
        <v>0</v>
      </c>
      <c r="BC56" s="71"/>
      <c r="BD56" s="8">
        <f t="shared" si="6"/>
        <v>50</v>
      </c>
      <c r="BE56" s="12">
        <f>BD56*(0.01*IF(D56="lab",SETTINGS!$F$25,"0"))</f>
        <v>0</v>
      </c>
      <c r="BF56" s="5"/>
      <c r="BG56" s="8">
        <f t="shared" si="7"/>
        <v>50</v>
      </c>
      <c r="BH56" s="12">
        <f>BG56*(0.01*IF(D56="lab",SETTINGS!$F$26,SETTINGS!$F$32))</f>
        <v>0</v>
      </c>
      <c r="BI56" s="13">
        <f t="shared" si="9"/>
        <v>0</v>
      </c>
      <c r="BJ56" s="60"/>
    </row>
    <row r="57" spans="2:62" x14ac:dyDescent="0.25">
      <c r="B57" s="6">
        <v>51</v>
      </c>
      <c r="C57" s="76">
        <f>SETTINGS!C60</f>
        <v>0</v>
      </c>
      <c r="D57" s="81" t="s">
        <v>81</v>
      </c>
      <c r="E57" s="9"/>
      <c r="F57" s="5"/>
      <c r="G57" s="5"/>
      <c r="H57" s="5"/>
      <c r="I57" s="5"/>
      <c r="J57" s="8">
        <f t="shared" si="10"/>
        <v>0</v>
      </c>
      <c r="K57" s="8">
        <f t="shared" si="8"/>
        <v>50</v>
      </c>
      <c r="L57" s="12">
        <f>K57*(0.01*IF(D57="lab",SETTINGS!$F$22,SETTINGS!$F$29))</f>
        <v>0</v>
      </c>
      <c r="M57" s="9"/>
      <c r="N57" s="9"/>
      <c r="O57" s="9"/>
      <c r="P57" s="5"/>
      <c r="Q57" s="5"/>
      <c r="R57" s="8">
        <f t="shared" si="11"/>
        <v>0</v>
      </c>
      <c r="S57" s="11">
        <f t="shared" si="14"/>
        <v>50</v>
      </c>
      <c r="T57" s="12">
        <f>S57*(0.01*IF(D57="lab",SETTINGS!$F$23,SETTINGS!$F$30))</f>
        <v>0</v>
      </c>
      <c r="U57" s="9">
        <f>ATT!S56</f>
        <v>100</v>
      </c>
      <c r="V57" s="12">
        <f>U57*(0.01*IF(D57="lab",SETTINGS!$F$21,SETTINGS!$F$28))</f>
        <v>0</v>
      </c>
      <c r="W57" s="9">
        <v>100</v>
      </c>
      <c r="X57" s="12">
        <f>W57*(0.01*IF(D57="lab",SETTINGS!$F$24,SETTINGS!$F$31))</f>
        <v>0</v>
      </c>
      <c r="Y57" s="71">
        <v>0</v>
      </c>
      <c r="Z57" s="12" t="e">
        <f>Y57*(0.01*IF(#REF!="ONLINE", SETTINGS!$F$26, IF('MID-FINAL'!#REF!="BLENDED",SETTINGS!$F$34, IF('MID-FINAL'!#REF!="MODULAR",SETTINGS!$F$42))))</f>
        <v>#REF!</v>
      </c>
      <c r="AA57" s="82"/>
      <c r="AB57" s="83">
        <f t="shared" si="15"/>
        <v>50</v>
      </c>
      <c r="AC57" s="12">
        <f>AB57*(0.01*IF(D57="lab",SETTINGS!$F$25,"0"))</f>
        <v>0</v>
      </c>
      <c r="AD57" s="9"/>
      <c r="AE57" s="8">
        <f t="shared" si="16"/>
        <v>50</v>
      </c>
      <c r="AF57" s="12">
        <f>AE57*(0.01*IF(D57="lab",SETTINGS!$F$26,SETTINGS!$F$32))</f>
        <v>0</v>
      </c>
      <c r="AG57" s="13">
        <f t="shared" si="17"/>
        <v>0</v>
      </c>
      <c r="AI57" s="9"/>
      <c r="AJ57" s="5"/>
      <c r="AK57" s="5"/>
      <c r="AL57" s="5"/>
      <c r="AM57" s="5"/>
      <c r="AN57" s="8">
        <f t="shared" si="12"/>
        <v>0</v>
      </c>
      <c r="AO57" s="8">
        <f t="shared" si="4"/>
        <v>50</v>
      </c>
      <c r="AP57" s="12">
        <f>AO57*(0.01*IF(D57="lab",SETTINGS!$F$22,SETTINGS!$F$29))</f>
        <v>0</v>
      </c>
      <c r="AQ57" s="9"/>
      <c r="AR57" s="9"/>
      <c r="AS57" s="5"/>
      <c r="AT57" s="5"/>
      <c r="AU57" s="5"/>
      <c r="AV57" s="8">
        <f t="shared" si="13"/>
        <v>0</v>
      </c>
      <c r="AW57" s="8">
        <f t="shared" si="5"/>
        <v>50</v>
      </c>
      <c r="AX57" s="12">
        <f>AW57*(0.01*IF(D57="lab",SETTINGS!$F$23,SETTINGS!$F$30))</f>
        <v>0</v>
      </c>
      <c r="AY57" s="9">
        <f>ATT!AJ56</f>
        <v>100</v>
      </c>
      <c r="AZ57" s="12">
        <f>AY57*(0.01*IF(D57="lab",SETTINGS!$F$21,SETTINGS!$F$28))</f>
        <v>0</v>
      </c>
      <c r="BA57" s="9">
        <v>100</v>
      </c>
      <c r="BB57" s="12">
        <f>BA57*(0.01*IF(D57="lab",SETTINGS!$F$24,SETTINGS!$F$31))</f>
        <v>0</v>
      </c>
      <c r="BC57" s="71"/>
      <c r="BD57" s="8">
        <f t="shared" si="6"/>
        <v>50</v>
      </c>
      <c r="BE57" s="12">
        <f>BD57*(0.01*IF(D57="lab",SETTINGS!$F$25,"0"))</f>
        <v>0</v>
      </c>
      <c r="BF57" s="5"/>
      <c r="BG57" s="8">
        <f t="shared" si="7"/>
        <v>50</v>
      </c>
      <c r="BH57" s="12">
        <f>BG57*(0.01*IF(D57="lab",SETTINGS!$F$26,SETTINGS!$F$32))</f>
        <v>0</v>
      </c>
      <c r="BI57" s="13">
        <f t="shared" si="9"/>
        <v>0</v>
      </c>
      <c r="BJ57" s="60"/>
    </row>
    <row r="58" spans="2:62" x14ac:dyDescent="0.25">
      <c r="B58" s="6">
        <v>52</v>
      </c>
      <c r="C58" s="76">
        <f>SETTINGS!C61</f>
        <v>0</v>
      </c>
      <c r="D58" s="81" t="s">
        <v>81</v>
      </c>
      <c r="E58" s="9"/>
      <c r="F58" s="5"/>
      <c r="G58" s="5"/>
      <c r="H58" s="5"/>
      <c r="I58" s="5"/>
      <c r="J58" s="8">
        <f t="shared" si="10"/>
        <v>0</v>
      </c>
      <c r="K58" s="8">
        <f t="shared" si="8"/>
        <v>50</v>
      </c>
      <c r="L58" s="12">
        <f>K58*(0.01*IF(D58="lab",SETTINGS!$F$22,SETTINGS!$F$29))</f>
        <v>0</v>
      </c>
      <c r="M58" s="9"/>
      <c r="N58" s="9"/>
      <c r="O58" s="9"/>
      <c r="P58" s="5"/>
      <c r="Q58" s="5"/>
      <c r="R58" s="8">
        <f t="shared" si="11"/>
        <v>0</v>
      </c>
      <c r="S58" s="11">
        <f t="shared" si="14"/>
        <v>50</v>
      </c>
      <c r="T58" s="12">
        <f>S58*(0.01*IF(D58="lab",SETTINGS!$F$23,SETTINGS!$F$30))</f>
        <v>0</v>
      </c>
      <c r="U58" s="9">
        <f>ATT!S57</f>
        <v>100</v>
      </c>
      <c r="V58" s="12">
        <f>U58*(0.01*IF(D58="lab",SETTINGS!$F$21,SETTINGS!$F$28))</f>
        <v>0</v>
      </c>
      <c r="W58" s="9">
        <v>100</v>
      </c>
      <c r="X58" s="12">
        <f>W58*(0.01*IF(D58="lab",SETTINGS!$F$24,SETTINGS!$F$31))</f>
        <v>0</v>
      </c>
      <c r="Y58" s="71">
        <v>0</v>
      </c>
      <c r="Z58" s="12" t="e">
        <f>Y58*(0.01*IF(#REF!="ONLINE", SETTINGS!$F$26, IF('MID-FINAL'!#REF!="BLENDED",SETTINGS!$F$34, IF('MID-FINAL'!#REF!="MODULAR",SETTINGS!$F$42))))</f>
        <v>#REF!</v>
      </c>
      <c r="AA58" s="82"/>
      <c r="AB58" s="83">
        <f t="shared" si="15"/>
        <v>50</v>
      </c>
      <c r="AC58" s="12">
        <f>AB58*(0.01*IF(D58="lab",SETTINGS!$F$25,"0"))</f>
        <v>0</v>
      </c>
      <c r="AD58" s="9"/>
      <c r="AE58" s="8">
        <f t="shared" si="16"/>
        <v>50</v>
      </c>
      <c r="AF58" s="12">
        <f>AE58*(0.01*IF(D58="lab",SETTINGS!$F$26,SETTINGS!$F$32))</f>
        <v>0</v>
      </c>
      <c r="AG58" s="13">
        <f t="shared" si="17"/>
        <v>0</v>
      </c>
      <c r="AI58" s="9"/>
      <c r="AJ58" s="5"/>
      <c r="AK58" s="5"/>
      <c r="AL58" s="5"/>
      <c r="AM58" s="5"/>
      <c r="AN58" s="8">
        <f t="shared" si="12"/>
        <v>0</v>
      </c>
      <c r="AO58" s="8">
        <f t="shared" si="4"/>
        <v>50</v>
      </c>
      <c r="AP58" s="12">
        <f>AO58*(0.01*IF(D58="lab",SETTINGS!$F$22,SETTINGS!$F$29))</f>
        <v>0</v>
      </c>
      <c r="AQ58" s="9"/>
      <c r="AR58" s="9"/>
      <c r="AS58" s="5"/>
      <c r="AT58" s="5"/>
      <c r="AU58" s="5"/>
      <c r="AV58" s="8">
        <f t="shared" si="13"/>
        <v>0</v>
      </c>
      <c r="AW58" s="8">
        <f t="shared" si="5"/>
        <v>50</v>
      </c>
      <c r="AX58" s="12">
        <f>AW58*(0.01*IF(D58="lab",SETTINGS!$F$23,SETTINGS!$F$30))</f>
        <v>0</v>
      </c>
      <c r="AY58" s="9">
        <f>ATT!AJ57</f>
        <v>100</v>
      </c>
      <c r="AZ58" s="12">
        <f>AY58*(0.01*IF(D58="lab",SETTINGS!$F$21,SETTINGS!$F$28))</f>
        <v>0</v>
      </c>
      <c r="BA58" s="9">
        <v>100</v>
      </c>
      <c r="BB58" s="12">
        <f>BA58*(0.01*IF(D58="lab",SETTINGS!$F$24,SETTINGS!$F$31))</f>
        <v>0</v>
      </c>
      <c r="BC58" s="71"/>
      <c r="BD58" s="8">
        <f t="shared" si="6"/>
        <v>50</v>
      </c>
      <c r="BE58" s="12">
        <f>BD58*(0.01*IF(D58="lab",SETTINGS!$F$25,"0"))</f>
        <v>0</v>
      </c>
      <c r="BF58" s="5"/>
      <c r="BG58" s="8">
        <f t="shared" si="7"/>
        <v>50</v>
      </c>
      <c r="BH58" s="12">
        <f>BG58*(0.01*IF(D58="lab",SETTINGS!$F$26,SETTINGS!$F$32))</f>
        <v>0</v>
      </c>
      <c r="BI58" s="13">
        <f t="shared" si="9"/>
        <v>0</v>
      </c>
      <c r="BJ58" s="60"/>
    </row>
    <row r="59" spans="2:62" x14ac:dyDescent="0.25">
      <c r="B59" s="6">
        <v>53</v>
      </c>
      <c r="C59" s="76">
        <f>SETTINGS!C62</f>
        <v>0</v>
      </c>
      <c r="D59" s="81" t="s">
        <v>81</v>
      </c>
      <c r="E59" s="9"/>
      <c r="F59" s="5"/>
      <c r="G59" s="5"/>
      <c r="H59" s="5"/>
      <c r="I59" s="5"/>
      <c r="J59" s="8">
        <f t="shared" si="10"/>
        <v>0</v>
      </c>
      <c r="K59" s="8">
        <f t="shared" si="8"/>
        <v>50</v>
      </c>
      <c r="L59" s="12">
        <f>K59*(0.01*IF(D59="lab",SETTINGS!$F$22,SETTINGS!$F$29))</f>
        <v>0</v>
      </c>
      <c r="M59" s="9"/>
      <c r="N59" s="9"/>
      <c r="O59" s="9"/>
      <c r="P59" s="5"/>
      <c r="Q59" s="5"/>
      <c r="R59" s="8">
        <f t="shared" si="11"/>
        <v>0</v>
      </c>
      <c r="S59" s="11">
        <f t="shared" si="14"/>
        <v>50</v>
      </c>
      <c r="T59" s="12">
        <f>S59*(0.01*IF(D59="lab",SETTINGS!$F$23,SETTINGS!$F$30))</f>
        <v>0</v>
      </c>
      <c r="U59" s="9">
        <f>ATT!S58</f>
        <v>100</v>
      </c>
      <c r="V59" s="12">
        <f>U59*(0.01*IF(D59="lab",SETTINGS!$F$21,SETTINGS!$F$28))</f>
        <v>0</v>
      </c>
      <c r="W59" s="9">
        <v>100</v>
      </c>
      <c r="X59" s="12">
        <f>W59*(0.01*IF(D59="lab",SETTINGS!$F$24,SETTINGS!$F$31))</f>
        <v>0</v>
      </c>
      <c r="Y59" s="71">
        <v>0</v>
      </c>
      <c r="Z59" s="12" t="e">
        <f>Y59*(0.01*IF(#REF!="ONLINE", SETTINGS!$F$26, IF('MID-FINAL'!#REF!="BLENDED",SETTINGS!$F$34, IF('MID-FINAL'!#REF!="MODULAR",SETTINGS!$F$42))))</f>
        <v>#REF!</v>
      </c>
      <c r="AA59" s="82"/>
      <c r="AB59" s="83">
        <f t="shared" si="15"/>
        <v>50</v>
      </c>
      <c r="AC59" s="12">
        <f>AB59*(0.01*IF(D59="lab",SETTINGS!$F$25,"0"))</f>
        <v>0</v>
      </c>
      <c r="AD59" s="9"/>
      <c r="AE59" s="8">
        <f t="shared" si="16"/>
        <v>50</v>
      </c>
      <c r="AF59" s="12">
        <f>AE59*(0.01*IF(D59="lab",SETTINGS!$F$26,SETTINGS!$F$32))</f>
        <v>0</v>
      </c>
      <c r="AG59" s="13">
        <f t="shared" si="17"/>
        <v>0</v>
      </c>
      <c r="AI59" s="9"/>
      <c r="AJ59" s="5"/>
      <c r="AK59" s="5"/>
      <c r="AL59" s="5"/>
      <c r="AM59" s="5"/>
      <c r="AN59" s="8">
        <f t="shared" si="12"/>
        <v>0</v>
      </c>
      <c r="AO59" s="8">
        <f t="shared" si="4"/>
        <v>50</v>
      </c>
      <c r="AP59" s="12">
        <f>AO59*(0.01*IF(D59="lab",SETTINGS!$F$22,SETTINGS!$F$29))</f>
        <v>0</v>
      </c>
      <c r="AQ59" s="9"/>
      <c r="AR59" s="9"/>
      <c r="AS59" s="5"/>
      <c r="AT59" s="5"/>
      <c r="AU59" s="5"/>
      <c r="AV59" s="8">
        <f t="shared" si="13"/>
        <v>0</v>
      </c>
      <c r="AW59" s="8">
        <f t="shared" si="5"/>
        <v>50</v>
      </c>
      <c r="AX59" s="12">
        <f>AW59*(0.01*IF(D59="lab",SETTINGS!$F$23,SETTINGS!$F$30))</f>
        <v>0</v>
      </c>
      <c r="AY59" s="9">
        <f>ATT!AJ58</f>
        <v>100</v>
      </c>
      <c r="AZ59" s="12">
        <f>AY59*(0.01*IF(D59="lab",SETTINGS!$F$21,SETTINGS!$F$28))</f>
        <v>0</v>
      </c>
      <c r="BA59" s="9">
        <v>100</v>
      </c>
      <c r="BB59" s="12">
        <f>BA59*(0.01*IF(D59="lab",SETTINGS!$F$24,SETTINGS!$F$31))</f>
        <v>0</v>
      </c>
      <c r="BC59" s="71"/>
      <c r="BD59" s="8">
        <f t="shared" si="6"/>
        <v>50</v>
      </c>
      <c r="BE59" s="12">
        <f>BD59*(0.01*IF(D59="lab",SETTINGS!$F$25,"0"))</f>
        <v>0</v>
      </c>
      <c r="BF59" s="5"/>
      <c r="BG59" s="8">
        <f t="shared" si="7"/>
        <v>50</v>
      </c>
      <c r="BH59" s="12">
        <f>BG59*(0.01*IF(D59="lab",SETTINGS!$F$26,SETTINGS!$F$32))</f>
        <v>0</v>
      </c>
      <c r="BI59" s="13">
        <f t="shared" si="9"/>
        <v>0</v>
      </c>
      <c r="BJ59" s="60"/>
    </row>
    <row r="60" spans="2:62" x14ac:dyDescent="0.25">
      <c r="B60" s="6">
        <v>54</v>
      </c>
      <c r="C60" s="76">
        <f>SETTINGS!C63</f>
        <v>0</v>
      </c>
      <c r="D60" s="81" t="s">
        <v>81</v>
      </c>
      <c r="E60" s="9"/>
      <c r="F60" s="5"/>
      <c r="G60" s="5"/>
      <c r="H60" s="5"/>
      <c r="I60" s="5"/>
      <c r="J60" s="8">
        <f t="shared" si="10"/>
        <v>0</v>
      </c>
      <c r="K60" s="8">
        <f t="shared" si="8"/>
        <v>50</v>
      </c>
      <c r="L60" s="12">
        <f>K60*(0.01*IF(D60="lab",SETTINGS!$F$22,SETTINGS!$F$29))</f>
        <v>0</v>
      </c>
      <c r="M60" s="9"/>
      <c r="N60" s="9"/>
      <c r="O60" s="9"/>
      <c r="P60" s="5"/>
      <c r="Q60" s="5"/>
      <c r="R60" s="8">
        <f t="shared" si="11"/>
        <v>0</v>
      </c>
      <c r="S60" s="11">
        <f t="shared" si="14"/>
        <v>50</v>
      </c>
      <c r="T60" s="12">
        <f>S60*(0.01*IF(D60="lab",SETTINGS!$F$23,SETTINGS!$F$30))</f>
        <v>0</v>
      </c>
      <c r="U60" s="9">
        <f>ATT!S59</f>
        <v>100</v>
      </c>
      <c r="V60" s="12">
        <f>U60*(0.01*IF(D60="lab",SETTINGS!$F$21,SETTINGS!$F$28))</f>
        <v>0</v>
      </c>
      <c r="W60" s="9">
        <v>100</v>
      </c>
      <c r="X60" s="12">
        <f>W60*(0.01*IF(D60="lab",SETTINGS!$F$24,SETTINGS!$F$31))</f>
        <v>0</v>
      </c>
      <c r="Y60" s="71">
        <v>0</v>
      </c>
      <c r="Z60" s="12" t="e">
        <f>Y60*(0.01*IF(#REF!="ONLINE", SETTINGS!$F$26, IF('MID-FINAL'!#REF!="BLENDED",SETTINGS!$F$34, IF('MID-FINAL'!#REF!="MODULAR",SETTINGS!$F$42))))</f>
        <v>#REF!</v>
      </c>
      <c r="AA60" s="82"/>
      <c r="AB60" s="83">
        <f t="shared" si="15"/>
        <v>50</v>
      </c>
      <c r="AC60" s="12">
        <f>AB60*(0.01*IF(D60="lab",SETTINGS!$F$25,"0"))</f>
        <v>0</v>
      </c>
      <c r="AD60" s="9"/>
      <c r="AE60" s="8">
        <f t="shared" si="16"/>
        <v>50</v>
      </c>
      <c r="AF60" s="12">
        <f>AE60*(0.01*IF(D60="lab",SETTINGS!$F$26,SETTINGS!$F$32))</f>
        <v>0</v>
      </c>
      <c r="AG60" s="13">
        <f t="shared" si="17"/>
        <v>0</v>
      </c>
      <c r="AI60" s="9"/>
      <c r="AJ60" s="5"/>
      <c r="AK60" s="5"/>
      <c r="AL60" s="5"/>
      <c r="AM60" s="5"/>
      <c r="AN60" s="8">
        <f t="shared" si="12"/>
        <v>0</v>
      </c>
      <c r="AO60" s="8">
        <f t="shared" si="4"/>
        <v>50</v>
      </c>
      <c r="AP60" s="12">
        <f>AO60*(0.01*IF(D60="lab",SETTINGS!$F$22,SETTINGS!$F$29))</f>
        <v>0</v>
      </c>
      <c r="AQ60" s="9"/>
      <c r="AR60" s="9"/>
      <c r="AS60" s="5"/>
      <c r="AT60" s="5"/>
      <c r="AU60" s="5"/>
      <c r="AV60" s="8">
        <f t="shared" si="13"/>
        <v>0</v>
      </c>
      <c r="AW60" s="8">
        <f t="shared" si="5"/>
        <v>50</v>
      </c>
      <c r="AX60" s="12">
        <f>AW60*(0.01*IF(D60="lab",SETTINGS!$F$23,SETTINGS!$F$30))</f>
        <v>0</v>
      </c>
      <c r="AY60" s="9">
        <f>ATT!AJ59</f>
        <v>100</v>
      </c>
      <c r="AZ60" s="12">
        <f>AY60*(0.01*IF(D60="lab",SETTINGS!$F$21,SETTINGS!$F$28))</f>
        <v>0</v>
      </c>
      <c r="BA60" s="9">
        <v>100</v>
      </c>
      <c r="BB60" s="12">
        <f>BA60*(0.01*IF(D60="lab",SETTINGS!$F$24,SETTINGS!$F$31))</f>
        <v>0</v>
      </c>
      <c r="BC60" s="71"/>
      <c r="BD60" s="8">
        <f t="shared" si="6"/>
        <v>50</v>
      </c>
      <c r="BE60" s="12">
        <f>BD60*(0.01*IF(D60="lab",SETTINGS!$F$25,"0"))</f>
        <v>0</v>
      </c>
      <c r="BF60" s="5"/>
      <c r="BG60" s="8">
        <f t="shared" si="7"/>
        <v>50</v>
      </c>
      <c r="BH60" s="12">
        <f>BG60*(0.01*IF(D60="lab",SETTINGS!$F$26,SETTINGS!$F$32))</f>
        <v>0</v>
      </c>
      <c r="BI60" s="13">
        <f t="shared" si="9"/>
        <v>0</v>
      </c>
      <c r="BJ60" s="60"/>
    </row>
    <row r="61" spans="2:62" x14ac:dyDescent="0.25">
      <c r="B61" s="6">
        <v>55</v>
      </c>
      <c r="C61" s="76">
        <f>SETTINGS!C64</f>
        <v>0</v>
      </c>
      <c r="D61" s="81" t="s">
        <v>81</v>
      </c>
      <c r="E61" s="9"/>
      <c r="F61" s="5"/>
      <c r="G61" s="5"/>
      <c r="H61" s="5"/>
      <c r="I61" s="5"/>
      <c r="J61" s="8">
        <f t="shared" si="10"/>
        <v>0</v>
      </c>
      <c r="K61" s="8">
        <f t="shared" si="8"/>
        <v>50</v>
      </c>
      <c r="L61" s="12">
        <f>K61*(0.01*IF(D61="lab",SETTINGS!$F$22,SETTINGS!$F$29))</f>
        <v>0</v>
      </c>
      <c r="M61" s="9"/>
      <c r="N61" s="9"/>
      <c r="O61" s="9"/>
      <c r="P61" s="5"/>
      <c r="Q61" s="5"/>
      <c r="R61" s="8">
        <f t="shared" si="11"/>
        <v>0</v>
      </c>
      <c r="S61" s="11">
        <f t="shared" si="14"/>
        <v>50</v>
      </c>
      <c r="T61" s="12">
        <f>S61*(0.01*IF(D61="lab",SETTINGS!$F$23,SETTINGS!$F$30))</f>
        <v>0</v>
      </c>
      <c r="U61" s="9">
        <f>ATT!S60</f>
        <v>100</v>
      </c>
      <c r="V61" s="12">
        <f>U61*(0.01*IF(D61="lab",SETTINGS!$F$21,SETTINGS!$F$28))</f>
        <v>0</v>
      </c>
      <c r="W61" s="9">
        <v>100</v>
      </c>
      <c r="X61" s="12">
        <f>W61*(0.01*IF(D61="lab",SETTINGS!$F$24,SETTINGS!$F$31))</f>
        <v>0</v>
      </c>
      <c r="Y61" s="71">
        <v>0</v>
      </c>
      <c r="Z61" s="12" t="e">
        <f>Y61*(0.01*IF(#REF!="ONLINE", SETTINGS!$F$26, IF('MID-FINAL'!#REF!="BLENDED",SETTINGS!$F$34, IF('MID-FINAL'!#REF!="MODULAR",SETTINGS!$F$42))))</f>
        <v>#REF!</v>
      </c>
      <c r="AA61" s="82"/>
      <c r="AB61" s="83">
        <f t="shared" si="15"/>
        <v>50</v>
      </c>
      <c r="AC61" s="12">
        <f>AB61*(0.01*IF(D61="lab",SETTINGS!$F$25,"0"))</f>
        <v>0</v>
      </c>
      <c r="AD61" s="9"/>
      <c r="AE61" s="8">
        <f t="shared" si="16"/>
        <v>50</v>
      </c>
      <c r="AF61" s="12">
        <f>AE61*(0.01*IF(D61="lab",SETTINGS!$F$26,SETTINGS!$F$32))</f>
        <v>0</v>
      </c>
      <c r="AG61" s="13">
        <f t="shared" si="17"/>
        <v>0</v>
      </c>
      <c r="AI61" s="9"/>
      <c r="AJ61" s="5"/>
      <c r="AK61" s="5"/>
      <c r="AL61" s="5"/>
      <c r="AM61" s="5"/>
      <c r="AN61" s="8">
        <f t="shared" si="12"/>
        <v>0</v>
      </c>
      <c r="AO61" s="8">
        <f t="shared" si="4"/>
        <v>50</v>
      </c>
      <c r="AP61" s="12">
        <f>AO61*(0.01*IF(D61="lab",SETTINGS!$F$22,SETTINGS!$F$29))</f>
        <v>0</v>
      </c>
      <c r="AQ61" s="9"/>
      <c r="AR61" s="9"/>
      <c r="AS61" s="5"/>
      <c r="AT61" s="5"/>
      <c r="AU61" s="5"/>
      <c r="AV61" s="8">
        <f t="shared" si="13"/>
        <v>0</v>
      </c>
      <c r="AW61" s="8">
        <f t="shared" si="5"/>
        <v>50</v>
      </c>
      <c r="AX61" s="12">
        <f>AW61*(0.01*IF(D61="lab",SETTINGS!$F$23,SETTINGS!$F$30))</f>
        <v>0</v>
      </c>
      <c r="AY61" s="9">
        <f>ATT!AJ60</f>
        <v>100</v>
      </c>
      <c r="AZ61" s="12">
        <f>AY61*(0.01*IF(D61="lab",SETTINGS!$F$21,SETTINGS!$F$28))</f>
        <v>0</v>
      </c>
      <c r="BA61" s="9">
        <v>100</v>
      </c>
      <c r="BB61" s="12">
        <f>BA61*(0.01*IF(D61="lab",SETTINGS!$F$24,SETTINGS!$F$31))</f>
        <v>0</v>
      </c>
      <c r="BC61" s="71"/>
      <c r="BD61" s="8">
        <f t="shared" si="6"/>
        <v>50</v>
      </c>
      <c r="BE61" s="12">
        <f>BD61*(0.01*IF(D61="lab",SETTINGS!$F$25,"0"))</f>
        <v>0</v>
      </c>
      <c r="BF61" s="5"/>
      <c r="BG61" s="8">
        <f t="shared" si="7"/>
        <v>50</v>
      </c>
      <c r="BH61" s="12">
        <f>BG61*(0.01*IF(D61="lab",SETTINGS!$F$26,SETTINGS!$F$32))</f>
        <v>0</v>
      </c>
      <c r="BI61" s="13">
        <f t="shared" si="9"/>
        <v>0</v>
      </c>
      <c r="BJ61" s="60"/>
    </row>
    <row r="62" spans="2:62" x14ac:dyDescent="0.25">
      <c r="B62" s="6">
        <v>56</v>
      </c>
      <c r="C62" s="76">
        <f>SETTINGS!C65</f>
        <v>0</v>
      </c>
      <c r="D62" s="81" t="s">
        <v>81</v>
      </c>
      <c r="E62" s="9"/>
      <c r="F62" s="5"/>
      <c r="G62" s="5"/>
      <c r="H62" s="5"/>
      <c r="I62" s="5"/>
      <c r="J62" s="8">
        <f t="shared" si="10"/>
        <v>0</v>
      </c>
      <c r="K62" s="8">
        <f t="shared" si="8"/>
        <v>50</v>
      </c>
      <c r="L62" s="12">
        <f>K62*(0.01*IF(D62="lab",SETTINGS!$F$22,SETTINGS!$F$29))</f>
        <v>0</v>
      </c>
      <c r="M62" s="9"/>
      <c r="N62" s="9"/>
      <c r="O62" s="9"/>
      <c r="P62" s="5"/>
      <c r="Q62" s="5"/>
      <c r="R62" s="8">
        <f t="shared" si="11"/>
        <v>0</v>
      </c>
      <c r="S62" s="11">
        <f t="shared" si="14"/>
        <v>50</v>
      </c>
      <c r="T62" s="12">
        <f>S62*(0.01*IF(D62="lab",SETTINGS!$F$23,SETTINGS!$F$30))</f>
        <v>0</v>
      </c>
      <c r="U62" s="9">
        <f>ATT!S61</f>
        <v>100</v>
      </c>
      <c r="V62" s="12">
        <f>U62*(0.01*IF(D62="lab",SETTINGS!$F$21,SETTINGS!$F$28))</f>
        <v>0</v>
      </c>
      <c r="W62" s="9">
        <v>100</v>
      </c>
      <c r="X62" s="12">
        <f>W62*(0.01*IF(D62="lab",SETTINGS!$F$24,SETTINGS!$F$31))</f>
        <v>0</v>
      </c>
      <c r="Y62" s="71">
        <v>0</v>
      </c>
      <c r="Z62" s="12" t="e">
        <f>Y62*(0.01*IF(#REF!="ONLINE", SETTINGS!$F$26, IF('MID-FINAL'!#REF!="BLENDED",SETTINGS!$F$34, IF('MID-FINAL'!#REF!="MODULAR",SETTINGS!$F$42))))</f>
        <v>#REF!</v>
      </c>
      <c r="AA62" s="82"/>
      <c r="AB62" s="83">
        <f t="shared" si="15"/>
        <v>50</v>
      </c>
      <c r="AC62" s="12">
        <f>AB62*(0.01*IF(D62="lab",SETTINGS!$F$25,"0"))</f>
        <v>0</v>
      </c>
      <c r="AD62" s="9"/>
      <c r="AE62" s="8">
        <f t="shared" si="16"/>
        <v>50</v>
      </c>
      <c r="AF62" s="12">
        <f>AE62*(0.01*IF(D62="lab",SETTINGS!$F$26,SETTINGS!$F$32))</f>
        <v>0</v>
      </c>
      <c r="AG62" s="13">
        <f t="shared" si="17"/>
        <v>0</v>
      </c>
      <c r="AI62" s="9"/>
      <c r="AJ62" s="5"/>
      <c r="AK62" s="5"/>
      <c r="AL62" s="5"/>
      <c r="AM62" s="5"/>
      <c r="AN62" s="8">
        <f t="shared" si="12"/>
        <v>0</v>
      </c>
      <c r="AO62" s="8">
        <f t="shared" si="4"/>
        <v>50</v>
      </c>
      <c r="AP62" s="12">
        <f>AO62*(0.01*IF(D62="lab",SETTINGS!$F$22,SETTINGS!$F$29))</f>
        <v>0</v>
      </c>
      <c r="AQ62" s="9"/>
      <c r="AR62" s="9"/>
      <c r="AS62" s="5"/>
      <c r="AT62" s="5"/>
      <c r="AU62" s="5"/>
      <c r="AV62" s="8">
        <f t="shared" si="13"/>
        <v>0</v>
      </c>
      <c r="AW62" s="8">
        <f t="shared" si="5"/>
        <v>50</v>
      </c>
      <c r="AX62" s="12">
        <f>AW62*(0.01*IF(D62="lab",SETTINGS!$F$23,SETTINGS!$F$30))</f>
        <v>0</v>
      </c>
      <c r="AY62" s="9">
        <f>ATT!AJ61</f>
        <v>100</v>
      </c>
      <c r="AZ62" s="12">
        <f>AY62*(0.01*IF(D62="lab",SETTINGS!$F$21,SETTINGS!$F$28))</f>
        <v>0</v>
      </c>
      <c r="BA62" s="9">
        <v>100</v>
      </c>
      <c r="BB62" s="12">
        <f>BA62*(0.01*IF(D62="lab",SETTINGS!$F$24,SETTINGS!$F$31))</f>
        <v>0</v>
      </c>
      <c r="BC62" s="71"/>
      <c r="BD62" s="8">
        <f t="shared" si="6"/>
        <v>50</v>
      </c>
      <c r="BE62" s="12">
        <f>BD62*(0.01*IF(D62="lab",SETTINGS!$F$25,"0"))</f>
        <v>0</v>
      </c>
      <c r="BF62" s="5"/>
      <c r="BG62" s="8">
        <f t="shared" si="7"/>
        <v>50</v>
      </c>
      <c r="BH62" s="12">
        <f>BG62*(0.01*IF(D62="lab",SETTINGS!$F$26,SETTINGS!$F$32))</f>
        <v>0</v>
      </c>
      <c r="BI62" s="13">
        <f t="shared" si="9"/>
        <v>0</v>
      </c>
      <c r="BJ62" s="60"/>
    </row>
    <row r="63" spans="2:62" x14ac:dyDescent="0.25">
      <c r="B63" s="6">
        <v>57</v>
      </c>
      <c r="C63" s="76">
        <f>SETTINGS!C66</f>
        <v>0</v>
      </c>
      <c r="D63" s="81" t="s">
        <v>81</v>
      </c>
      <c r="E63" s="9"/>
      <c r="F63" s="5"/>
      <c r="G63" s="5"/>
      <c r="H63" s="5"/>
      <c r="I63" s="5"/>
      <c r="J63" s="8">
        <f t="shared" si="10"/>
        <v>0</v>
      </c>
      <c r="K63" s="8">
        <f t="shared" si="8"/>
        <v>50</v>
      </c>
      <c r="L63" s="12">
        <f>K63*(0.01*IF(D63="lab",SETTINGS!$F$22,SETTINGS!$F$29))</f>
        <v>0</v>
      </c>
      <c r="M63" s="9"/>
      <c r="N63" s="9"/>
      <c r="O63" s="9"/>
      <c r="P63" s="5"/>
      <c r="Q63" s="5"/>
      <c r="R63" s="8">
        <f t="shared" si="11"/>
        <v>0</v>
      </c>
      <c r="S63" s="11">
        <f t="shared" si="14"/>
        <v>50</v>
      </c>
      <c r="T63" s="12">
        <f>S63*(0.01*IF(D63="lab",SETTINGS!$F$23,SETTINGS!$F$30))</f>
        <v>0</v>
      </c>
      <c r="U63" s="9">
        <f>ATT!S62</f>
        <v>100</v>
      </c>
      <c r="V63" s="12">
        <f>U63*(0.01*IF(D63="lab",SETTINGS!$F$21,SETTINGS!$F$28))</f>
        <v>0</v>
      </c>
      <c r="W63" s="9">
        <v>100</v>
      </c>
      <c r="X63" s="12">
        <f>W63*(0.01*IF(D63="lab",SETTINGS!$F$24,SETTINGS!$F$31))</f>
        <v>0</v>
      </c>
      <c r="Y63" s="71">
        <v>0</v>
      </c>
      <c r="Z63" s="12" t="e">
        <f>Y63*(0.01*IF(#REF!="ONLINE", SETTINGS!$F$26, IF('MID-FINAL'!#REF!="BLENDED",SETTINGS!$F$34, IF('MID-FINAL'!#REF!="MODULAR",SETTINGS!$F$42))))</f>
        <v>#REF!</v>
      </c>
      <c r="AA63" s="82"/>
      <c r="AB63" s="83">
        <f t="shared" si="15"/>
        <v>50</v>
      </c>
      <c r="AC63" s="12">
        <f>AB63*(0.01*IF(D63="lab",SETTINGS!$F$25,"0"))</f>
        <v>0</v>
      </c>
      <c r="AD63" s="9"/>
      <c r="AE63" s="8">
        <f t="shared" si="16"/>
        <v>50</v>
      </c>
      <c r="AF63" s="12">
        <f>AE63*(0.01*IF(D63="lab",SETTINGS!$F$26,SETTINGS!$F$32))</f>
        <v>0</v>
      </c>
      <c r="AG63" s="13">
        <f t="shared" si="17"/>
        <v>0</v>
      </c>
      <c r="AI63" s="9"/>
      <c r="AJ63" s="5"/>
      <c r="AK63" s="5"/>
      <c r="AL63" s="5"/>
      <c r="AM63" s="5"/>
      <c r="AN63" s="8">
        <f t="shared" si="12"/>
        <v>0</v>
      </c>
      <c r="AO63" s="8">
        <f t="shared" si="4"/>
        <v>50</v>
      </c>
      <c r="AP63" s="12">
        <f>AO63*(0.01*IF(D63="lab",SETTINGS!$F$22,SETTINGS!$F$29))</f>
        <v>0</v>
      </c>
      <c r="AQ63" s="9"/>
      <c r="AR63" s="9"/>
      <c r="AS63" s="5"/>
      <c r="AT63" s="5"/>
      <c r="AU63" s="5"/>
      <c r="AV63" s="8">
        <f t="shared" si="13"/>
        <v>0</v>
      </c>
      <c r="AW63" s="8">
        <f t="shared" si="5"/>
        <v>50</v>
      </c>
      <c r="AX63" s="12">
        <f>AW63*(0.01*IF(D63="lab",SETTINGS!$F$23,SETTINGS!$F$30))</f>
        <v>0</v>
      </c>
      <c r="AY63" s="9">
        <f>ATT!AJ62</f>
        <v>100</v>
      </c>
      <c r="AZ63" s="12">
        <f>AY63*(0.01*IF(D63="lab",SETTINGS!$F$21,SETTINGS!$F$28))</f>
        <v>0</v>
      </c>
      <c r="BA63" s="9">
        <v>100</v>
      </c>
      <c r="BB63" s="12">
        <f>BA63*(0.01*IF(D63="lab",SETTINGS!$F$24,SETTINGS!$F$31))</f>
        <v>0</v>
      </c>
      <c r="BC63" s="71"/>
      <c r="BD63" s="8">
        <f t="shared" si="6"/>
        <v>50</v>
      </c>
      <c r="BE63" s="12">
        <f>BD63*(0.01*IF(D63="lab",SETTINGS!$F$25,"0"))</f>
        <v>0</v>
      </c>
      <c r="BF63" s="5"/>
      <c r="BG63" s="8">
        <f t="shared" si="7"/>
        <v>50</v>
      </c>
      <c r="BH63" s="12">
        <f>BG63*(0.01*IF(D63="lab",SETTINGS!$F$26,SETTINGS!$F$32))</f>
        <v>0</v>
      </c>
      <c r="BI63" s="13">
        <f t="shared" si="9"/>
        <v>0</v>
      </c>
      <c r="BJ63" s="60"/>
    </row>
    <row r="64" spans="2:62" x14ac:dyDescent="0.25">
      <c r="B64" s="6">
        <v>58</v>
      </c>
      <c r="C64" s="76">
        <f>SETTINGS!C67</f>
        <v>0</v>
      </c>
      <c r="D64" s="81" t="s">
        <v>81</v>
      </c>
      <c r="E64" s="9"/>
      <c r="F64" s="5"/>
      <c r="G64" s="5"/>
      <c r="H64" s="5"/>
      <c r="I64" s="5"/>
      <c r="J64" s="8">
        <f t="shared" si="10"/>
        <v>0</v>
      </c>
      <c r="K64" s="8">
        <f t="shared" si="8"/>
        <v>50</v>
      </c>
      <c r="L64" s="12">
        <f>K64*(0.01*IF(D64="lab",SETTINGS!$F$22,SETTINGS!$F$29))</f>
        <v>0</v>
      </c>
      <c r="M64" s="9"/>
      <c r="N64" s="9"/>
      <c r="O64" s="9"/>
      <c r="P64" s="5"/>
      <c r="Q64" s="5"/>
      <c r="R64" s="8">
        <f t="shared" si="11"/>
        <v>0</v>
      </c>
      <c r="S64" s="11">
        <f t="shared" si="14"/>
        <v>50</v>
      </c>
      <c r="T64" s="12">
        <f>S64*(0.01*IF(D64="lab",SETTINGS!$F$23,SETTINGS!$F$30))</f>
        <v>0</v>
      </c>
      <c r="U64" s="9">
        <f>ATT!S63</f>
        <v>100</v>
      </c>
      <c r="V64" s="12">
        <f>U64*(0.01*IF(D64="lab",SETTINGS!$F$21,SETTINGS!$F$28))</f>
        <v>0</v>
      </c>
      <c r="W64" s="9">
        <v>100</v>
      </c>
      <c r="X64" s="12">
        <f>W64*(0.01*IF(D64="lab",SETTINGS!$F$24,SETTINGS!$F$31))</f>
        <v>0</v>
      </c>
      <c r="Y64" s="71">
        <v>0</v>
      </c>
      <c r="Z64" s="12" t="e">
        <f>Y64*(0.01*IF(#REF!="ONLINE", SETTINGS!$F$26, IF('MID-FINAL'!#REF!="BLENDED",SETTINGS!$F$34, IF('MID-FINAL'!#REF!="MODULAR",SETTINGS!$F$42))))</f>
        <v>#REF!</v>
      </c>
      <c r="AA64" s="82"/>
      <c r="AB64" s="83">
        <f t="shared" si="15"/>
        <v>50</v>
      </c>
      <c r="AC64" s="12">
        <f>AB64*(0.01*IF(D64="lab",SETTINGS!$F$25,"0"))</f>
        <v>0</v>
      </c>
      <c r="AD64" s="9"/>
      <c r="AE64" s="8">
        <f t="shared" si="16"/>
        <v>50</v>
      </c>
      <c r="AF64" s="12">
        <f>AE64*(0.01*IF(D64="lab",SETTINGS!$F$26,SETTINGS!$F$32))</f>
        <v>0</v>
      </c>
      <c r="AG64" s="13">
        <f t="shared" si="17"/>
        <v>0</v>
      </c>
      <c r="AI64" s="9"/>
      <c r="AJ64" s="5"/>
      <c r="AK64" s="5"/>
      <c r="AL64" s="5"/>
      <c r="AM64" s="5"/>
      <c r="AN64" s="8">
        <f t="shared" si="12"/>
        <v>0</v>
      </c>
      <c r="AO64" s="8">
        <f t="shared" si="4"/>
        <v>50</v>
      </c>
      <c r="AP64" s="12">
        <f>AO64*(0.01*IF(D64="lab",SETTINGS!$F$22,SETTINGS!$F$29))</f>
        <v>0</v>
      </c>
      <c r="AQ64" s="9"/>
      <c r="AR64" s="9"/>
      <c r="AS64" s="5"/>
      <c r="AT64" s="5"/>
      <c r="AU64" s="5"/>
      <c r="AV64" s="8">
        <f t="shared" si="13"/>
        <v>0</v>
      </c>
      <c r="AW64" s="8">
        <f t="shared" si="5"/>
        <v>50</v>
      </c>
      <c r="AX64" s="12">
        <f>AW64*(0.01*IF(D64="lab",SETTINGS!$F$23,SETTINGS!$F$30))</f>
        <v>0</v>
      </c>
      <c r="AY64" s="9">
        <f>ATT!AJ63</f>
        <v>100</v>
      </c>
      <c r="AZ64" s="12">
        <f>AY64*(0.01*IF(D64="lab",SETTINGS!$F$21,SETTINGS!$F$28))</f>
        <v>0</v>
      </c>
      <c r="BA64" s="9">
        <v>100</v>
      </c>
      <c r="BB64" s="12">
        <f>BA64*(0.01*IF(D64="lab",SETTINGS!$F$24,SETTINGS!$F$31))</f>
        <v>0</v>
      </c>
      <c r="BC64" s="71"/>
      <c r="BD64" s="8">
        <f t="shared" si="6"/>
        <v>50</v>
      </c>
      <c r="BE64" s="12">
        <f>BD64*(0.01*IF(D64="lab",SETTINGS!$F$25,"0"))</f>
        <v>0</v>
      </c>
      <c r="BF64" s="5"/>
      <c r="BG64" s="8">
        <f t="shared" si="7"/>
        <v>50</v>
      </c>
      <c r="BH64" s="12">
        <f>BG64*(0.01*IF(D64="lab",SETTINGS!$F$26,SETTINGS!$F$32))</f>
        <v>0</v>
      </c>
      <c r="BI64" s="13">
        <f t="shared" si="9"/>
        <v>0</v>
      </c>
      <c r="BJ64" s="60"/>
    </row>
    <row r="65" spans="2:62" x14ac:dyDescent="0.25">
      <c r="B65" s="6">
        <v>59</v>
      </c>
      <c r="C65" s="76">
        <f>SETTINGS!C68</f>
        <v>0</v>
      </c>
      <c r="D65" s="81" t="s">
        <v>81</v>
      </c>
      <c r="E65" s="9"/>
      <c r="F65" s="5"/>
      <c r="G65" s="5"/>
      <c r="H65" s="5"/>
      <c r="I65" s="5"/>
      <c r="J65" s="8">
        <f t="shared" si="10"/>
        <v>0</v>
      </c>
      <c r="K65" s="8">
        <f t="shared" si="8"/>
        <v>50</v>
      </c>
      <c r="L65" s="12">
        <f>K65*(0.01*IF(D65="lab",SETTINGS!$F$22,SETTINGS!$F$29))</f>
        <v>0</v>
      </c>
      <c r="M65" s="9"/>
      <c r="N65" s="9"/>
      <c r="O65" s="9"/>
      <c r="P65" s="5"/>
      <c r="Q65" s="5"/>
      <c r="R65" s="8">
        <f t="shared" si="11"/>
        <v>0</v>
      </c>
      <c r="S65" s="11">
        <f t="shared" si="14"/>
        <v>50</v>
      </c>
      <c r="T65" s="12">
        <f>S65*(0.01*IF(D65="lab",SETTINGS!$F$23,SETTINGS!$F$30))</f>
        <v>0</v>
      </c>
      <c r="U65" s="9">
        <f>ATT!S64</f>
        <v>100</v>
      </c>
      <c r="V65" s="12">
        <f>U65*(0.01*IF(D65="lab",SETTINGS!$F$21,SETTINGS!$F$28))</f>
        <v>0</v>
      </c>
      <c r="W65" s="9">
        <v>100</v>
      </c>
      <c r="X65" s="12">
        <f>W65*(0.01*IF(D65="lab",SETTINGS!$F$24,SETTINGS!$F$31))</f>
        <v>0</v>
      </c>
      <c r="Y65" s="71">
        <v>0</v>
      </c>
      <c r="Z65" s="12" t="e">
        <f>Y65*(0.01*IF(#REF!="ONLINE", SETTINGS!$F$26, IF('MID-FINAL'!#REF!="BLENDED",SETTINGS!$F$34, IF('MID-FINAL'!#REF!="MODULAR",SETTINGS!$F$42))))</f>
        <v>#REF!</v>
      </c>
      <c r="AA65" s="82"/>
      <c r="AB65" s="83">
        <f t="shared" si="15"/>
        <v>50</v>
      </c>
      <c r="AC65" s="12">
        <f>AB65*(0.01*IF(D65="lab",SETTINGS!$F$25,"0"))</f>
        <v>0</v>
      </c>
      <c r="AD65" s="9"/>
      <c r="AE65" s="8">
        <f t="shared" si="16"/>
        <v>50</v>
      </c>
      <c r="AF65" s="12">
        <f>AE65*(0.01*IF(D65="lab",SETTINGS!$F$26,SETTINGS!$F$32))</f>
        <v>0</v>
      </c>
      <c r="AG65" s="13">
        <f t="shared" si="17"/>
        <v>0</v>
      </c>
      <c r="AI65" s="9"/>
      <c r="AJ65" s="5"/>
      <c r="AK65" s="5"/>
      <c r="AL65" s="5"/>
      <c r="AM65" s="5"/>
      <c r="AN65" s="8">
        <f t="shared" si="12"/>
        <v>0</v>
      </c>
      <c r="AO65" s="8">
        <f t="shared" si="4"/>
        <v>50</v>
      </c>
      <c r="AP65" s="12">
        <f>AO65*(0.01*IF(D65="lab",SETTINGS!$F$22,SETTINGS!$F$29))</f>
        <v>0</v>
      </c>
      <c r="AQ65" s="9"/>
      <c r="AR65" s="9"/>
      <c r="AS65" s="5"/>
      <c r="AT65" s="5"/>
      <c r="AU65" s="5"/>
      <c r="AV65" s="8">
        <f t="shared" si="13"/>
        <v>0</v>
      </c>
      <c r="AW65" s="8">
        <f t="shared" si="5"/>
        <v>50</v>
      </c>
      <c r="AX65" s="12">
        <f>AW65*(0.01*IF(D65="lab",SETTINGS!$F$23,SETTINGS!$F$30))</f>
        <v>0</v>
      </c>
      <c r="AY65" s="9">
        <f>ATT!AJ64</f>
        <v>100</v>
      </c>
      <c r="AZ65" s="12">
        <f>AY65*(0.01*IF(D65="lab",SETTINGS!$F$21,SETTINGS!$F$28))</f>
        <v>0</v>
      </c>
      <c r="BA65" s="9">
        <v>100</v>
      </c>
      <c r="BB65" s="12">
        <f>BA65*(0.01*IF(D65="lab",SETTINGS!$F$24,SETTINGS!$F$31))</f>
        <v>0</v>
      </c>
      <c r="BC65" s="71"/>
      <c r="BD65" s="8">
        <f t="shared" si="6"/>
        <v>50</v>
      </c>
      <c r="BE65" s="12">
        <f>BD65*(0.01*IF(D65="lab",SETTINGS!$F$25,"0"))</f>
        <v>0</v>
      </c>
      <c r="BF65" s="5"/>
      <c r="BG65" s="8">
        <f t="shared" si="7"/>
        <v>50</v>
      </c>
      <c r="BH65" s="12">
        <f>BG65*(0.01*IF(D65="lab",SETTINGS!$F$26,SETTINGS!$F$32))</f>
        <v>0</v>
      </c>
      <c r="BI65" s="13">
        <f t="shared" si="9"/>
        <v>0</v>
      </c>
      <c r="BJ65" s="60"/>
    </row>
    <row r="66" spans="2:62" x14ac:dyDescent="0.25">
      <c r="B66" s="6">
        <v>60</v>
      </c>
      <c r="C66" s="76">
        <f>SETTINGS!C69</f>
        <v>0</v>
      </c>
      <c r="D66" s="81" t="s">
        <v>81</v>
      </c>
      <c r="E66" s="9"/>
      <c r="F66" s="5"/>
      <c r="G66" s="5"/>
      <c r="H66" s="5"/>
      <c r="I66" s="5"/>
      <c r="J66" s="8">
        <f t="shared" si="10"/>
        <v>0</v>
      </c>
      <c r="K66" s="8">
        <f t="shared" si="8"/>
        <v>50</v>
      </c>
      <c r="L66" s="12">
        <f>K66*(0.01*IF(D66="lab",SETTINGS!$F$22,SETTINGS!$F$29))</f>
        <v>0</v>
      </c>
      <c r="M66" s="9"/>
      <c r="N66" s="9"/>
      <c r="O66" s="9"/>
      <c r="P66" s="5"/>
      <c r="Q66" s="5"/>
      <c r="R66" s="8">
        <f t="shared" si="11"/>
        <v>0</v>
      </c>
      <c r="S66" s="11">
        <f t="shared" si="14"/>
        <v>50</v>
      </c>
      <c r="T66" s="12">
        <f>S66*(0.01*IF(D66="lab",SETTINGS!$F$23,SETTINGS!$F$30))</f>
        <v>0</v>
      </c>
      <c r="U66" s="9">
        <f>ATT!S65</f>
        <v>100</v>
      </c>
      <c r="V66" s="12">
        <f>U66*(0.01*IF(D66="lab",SETTINGS!$F$21,SETTINGS!$F$28))</f>
        <v>0</v>
      </c>
      <c r="W66" s="9">
        <v>100</v>
      </c>
      <c r="X66" s="12">
        <f>W66*(0.01*IF(D66="lab",SETTINGS!$F$24,SETTINGS!$F$31))</f>
        <v>0</v>
      </c>
      <c r="Y66" s="71">
        <v>0</v>
      </c>
      <c r="Z66" s="12" t="e">
        <f>Y66*(0.01*IF(#REF!="ONLINE", SETTINGS!$F$26, IF('MID-FINAL'!#REF!="BLENDED",SETTINGS!$F$34, IF('MID-FINAL'!#REF!="MODULAR",SETTINGS!$F$42))))</f>
        <v>#REF!</v>
      </c>
      <c r="AA66" s="82"/>
      <c r="AB66" s="83">
        <f t="shared" si="15"/>
        <v>50</v>
      </c>
      <c r="AC66" s="12">
        <f>AB66*(0.01*IF(D66="lab",SETTINGS!$F$25,"0"))</f>
        <v>0</v>
      </c>
      <c r="AD66" s="9"/>
      <c r="AE66" s="8">
        <f t="shared" si="16"/>
        <v>50</v>
      </c>
      <c r="AF66" s="12">
        <f>AE66*(0.01*IF(D66="lab",SETTINGS!$F$26,SETTINGS!$F$32))</f>
        <v>0</v>
      </c>
      <c r="AG66" s="13">
        <f t="shared" si="17"/>
        <v>0</v>
      </c>
      <c r="AI66" s="9"/>
      <c r="AJ66" s="5"/>
      <c r="AK66" s="5"/>
      <c r="AL66" s="5"/>
      <c r="AM66" s="5"/>
      <c r="AN66" s="8">
        <f t="shared" si="12"/>
        <v>0</v>
      </c>
      <c r="AO66" s="8">
        <f t="shared" si="4"/>
        <v>50</v>
      </c>
      <c r="AP66" s="12">
        <f>AO66*(0.01*IF(D66="lab",SETTINGS!$F$22,SETTINGS!$F$29))</f>
        <v>0</v>
      </c>
      <c r="AQ66" s="9"/>
      <c r="AR66" s="9"/>
      <c r="AS66" s="5"/>
      <c r="AT66" s="5"/>
      <c r="AU66" s="5"/>
      <c r="AV66" s="8">
        <f t="shared" si="13"/>
        <v>0</v>
      </c>
      <c r="AW66" s="8">
        <f t="shared" si="5"/>
        <v>50</v>
      </c>
      <c r="AX66" s="12">
        <f>AW66*(0.01*IF(D66="lab",SETTINGS!$F$23,SETTINGS!$F$30))</f>
        <v>0</v>
      </c>
      <c r="AY66" s="9">
        <f>ATT!AJ65</f>
        <v>100</v>
      </c>
      <c r="AZ66" s="12">
        <f>AY66*(0.01*IF(D66="lab",SETTINGS!$F$21,SETTINGS!$F$28))</f>
        <v>0</v>
      </c>
      <c r="BA66" s="9">
        <v>100</v>
      </c>
      <c r="BB66" s="12">
        <f>BA66*(0.01*IF(D66="lab",SETTINGS!$F$24,SETTINGS!$F$31))</f>
        <v>0</v>
      </c>
      <c r="BC66" s="71"/>
      <c r="BD66" s="8">
        <f t="shared" si="6"/>
        <v>50</v>
      </c>
      <c r="BE66" s="12">
        <f>BD66*(0.01*IF(D66="lab",SETTINGS!$F$25,"0"))</f>
        <v>0</v>
      </c>
      <c r="BF66" s="5"/>
      <c r="BG66" s="8">
        <f t="shared" si="7"/>
        <v>50</v>
      </c>
      <c r="BH66" s="12">
        <f>BG66*(0.01*IF(D66="lab",SETTINGS!$F$26,SETTINGS!$F$32))</f>
        <v>0</v>
      </c>
      <c r="BI66" s="13">
        <f t="shared" si="9"/>
        <v>0</v>
      </c>
      <c r="BJ66" s="60"/>
    </row>
    <row r="67" spans="2:62" ht="14.25" customHeight="1" x14ac:dyDescent="0.25">
      <c r="B67" s="6">
        <v>61</v>
      </c>
      <c r="C67" s="76">
        <f>SETTINGS!C70</f>
        <v>0</v>
      </c>
      <c r="D67" s="81" t="s">
        <v>81</v>
      </c>
      <c r="E67" s="9"/>
      <c r="F67" s="5"/>
      <c r="G67" s="5"/>
      <c r="H67" s="5"/>
      <c r="I67" s="5"/>
      <c r="J67" s="8">
        <f t="shared" ref="J67:J76" si="18">SUM(E67:I67)</f>
        <v>0</v>
      </c>
      <c r="K67" s="8">
        <f t="shared" ref="K67:K76" si="19">J67/$J$6*50+50</f>
        <v>50</v>
      </c>
      <c r="L67" s="12">
        <f>K67*(0.01*IF(D67="lab",SETTINGS!$F$22,SETTINGS!$F$29))</f>
        <v>0</v>
      </c>
      <c r="M67" s="9"/>
      <c r="N67" s="9"/>
      <c r="O67" s="9"/>
      <c r="P67" s="5"/>
      <c r="Q67" s="5"/>
      <c r="R67" s="8">
        <f t="shared" ref="R67:R76" si="20">SUM(M67:Q67)</f>
        <v>0</v>
      </c>
      <c r="S67" s="11">
        <f t="shared" si="14"/>
        <v>50</v>
      </c>
      <c r="T67" s="12">
        <f>S67*(0.01*IF(D67="lab",SETTINGS!$F$23,SETTINGS!$F$30))</f>
        <v>0</v>
      </c>
      <c r="U67" s="9">
        <v>100</v>
      </c>
      <c r="V67" s="12">
        <f>U67*(0.01*IF(D67="lab",SETTINGS!$F$21,SETTINGS!$F$28))</f>
        <v>0</v>
      </c>
      <c r="W67" s="9">
        <v>100</v>
      </c>
      <c r="X67" s="12">
        <f>W67*(0.01*IF(D67="lab",SETTINGS!$F$24,SETTINGS!$F$31))</f>
        <v>0</v>
      </c>
      <c r="Y67" s="71">
        <v>0</v>
      </c>
      <c r="Z67" s="12" t="e">
        <f>Y67*(0.01*IF(#REF!="ONLINE", SETTINGS!$F$26, IF('MID-FINAL'!#REF!="BLENDED",SETTINGS!$F$34, IF('MID-FINAL'!#REF!="MODULAR",SETTINGS!$F$42))))</f>
        <v>#REF!</v>
      </c>
      <c r="AA67" s="82"/>
      <c r="AB67" s="83">
        <f t="shared" si="15"/>
        <v>50</v>
      </c>
      <c r="AC67" s="12">
        <f>AB67*(0.01*IF(D67="lab",SETTINGS!$F$25,"0"))</f>
        <v>0</v>
      </c>
      <c r="AD67" s="9"/>
      <c r="AE67" s="8">
        <f t="shared" si="16"/>
        <v>50</v>
      </c>
      <c r="AF67" s="12">
        <f>AE67*(0.01*IF(D67="lab",SETTINGS!$F$26,SETTINGS!$F$32))</f>
        <v>0</v>
      </c>
      <c r="AG67" s="13">
        <f t="shared" si="17"/>
        <v>0</v>
      </c>
      <c r="AI67" s="9"/>
      <c r="AJ67" s="5"/>
      <c r="AK67" s="5"/>
      <c r="AL67" s="5"/>
      <c r="AM67" s="5"/>
      <c r="AN67" s="8">
        <f t="shared" ref="AN67:AN76" si="21">SUM(AI67:AM67)</f>
        <v>0</v>
      </c>
      <c r="AO67" s="8">
        <f t="shared" si="4"/>
        <v>50</v>
      </c>
      <c r="AP67" s="12">
        <f>AO67*(0.01*IF(D67="lab",SETTINGS!$F$22,SETTINGS!$F$29))</f>
        <v>0</v>
      </c>
      <c r="AQ67" s="9"/>
      <c r="AR67" s="9"/>
      <c r="AS67" s="5"/>
      <c r="AT67" s="5"/>
      <c r="AU67" s="5"/>
      <c r="AV67" s="8">
        <f t="shared" ref="AV67:AV76" si="22">SUM(AQ67:AU67)</f>
        <v>0</v>
      </c>
      <c r="AW67" s="8">
        <f t="shared" si="5"/>
        <v>50</v>
      </c>
      <c r="AX67" s="12">
        <f>AW67*(0.01*IF(D67="lab",SETTINGS!$F$23,SETTINGS!$F$30))</f>
        <v>0</v>
      </c>
      <c r="AY67" s="9">
        <f>ATT!AJ66</f>
        <v>100</v>
      </c>
      <c r="AZ67" s="12">
        <f>AY67*(0.01*IF(D67="lab",SETTINGS!$F$21,SETTINGS!$F$28))</f>
        <v>0</v>
      </c>
      <c r="BA67" s="9">
        <v>100</v>
      </c>
      <c r="BB67" s="12">
        <f>BA67*(0.01*IF(D67="lab",SETTINGS!$F$24,SETTINGS!$F$31))</f>
        <v>0</v>
      </c>
      <c r="BC67" s="71"/>
      <c r="BD67" s="8">
        <f t="shared" si="6"/>
        <v>50</v>
      </c>
      <c r="BE67" s="12">
        <f>BD67*(0.01*IF(D67="lab",SETTINGS!$F$25,"0"))</f>
        <v>0</v>
      </c>
      <c r="BF67" s="5"/>
      <c r="BG67" s="8">
        <f t="shared" si="7"/>
        <v>50</v>
      </c>
      <c r="BH67" s="12">
        <f>BG67*(0.01*IF(D67="lab",SETTINGS!$F$26,SETTINGS!$F$32))</f>
        <v>0</v>
      </c>
      <c r="BI67" s="13">
        <f t="shared" si="9"/>
        <v>0</v>
      </c>
      <c r="BJ67" s="60"/>
    </row>
    <row r="68" spans="2:62" x14ac:dyDescent="0.25">
      <c r="B68" s="6">
        <v>62</v>
      </c>
      <c r="C68" s="76">
        <f>SETTINGS!C71</f>
        <v>0</v>
      </c>
      <c r="D68" s="81" t="s">
        <v>81</v>
      </c>
      <c r="E68" s="9"/>
      <c r="F68" s="5"/>
      <c r="G68" s="5"/>
      <c r="H68" s="5"/>
      <c r="I68" s="5"/>
      <c r="J68" s="8">
        <f t="shared" si="18"/>
        <v>0</v>
      </c>
      <c r="K68" s="8">
        <f t="shared" si="19"/>
        <v>50</v>
      </c>
      <c r="L68" s="12">
        <f>K68*(0.01*IF(D68="lab",SETTINGS!$F$22,SETTINGS!$F$29))</f>
        <v>0</v>
      </c>
      <c r="M68" s="9"/>
      <c r="N68" s="9"/>
      <c r="O68" s="9"/>
      <c r="P68" s="5"/>
      <c r="Q68" s="5"/>
      <c r="R68" s="8">
        <f t="shared" si="20"/>
        <v>0</v>
      </c>
      <c r="S68" s="11">
        <f t="shared" si="14"/>
        <v>50</v>
      </c>
      <c r="T68" s="12">
        <f>S68*(0.01*IF(D68="lab",SETTINGS!$F$23,SETTINGS!$F$30))</f>
        <v>0</v>
      </c>
      <c r="U68" s="9">
        <v>100</v>
      </c>
      <c r="V68" s="12">
        <f>U68*(0.01*IF(D68="lab",SETTINGS!$F$21,SETTINGS!$F$28))</f>
        <v>0</v>
      </c>
      <c r="W68" s="9">
        <v>100</v>
      </c>
      <c r="X68" s="12">
        <f>W68*(0.01*IF(D68="lab",SETTINGS!$F$24,SETTINGS!$F$31))</f>
        <v>0</v>
      </c>
      <c r="Y68" s="71">
        <v>0</v>
      </c>
      <c r="Z68" s="12" t="e">
        <f>Y68*(0.01*IF(#REF!="ONLINE", SETTINGS!$F$26, IF('MID-FINAL'!#REF!="BLENDED",SETTINGS!$F$34, IF('MID-FINAL'!#REF!="MODULAR",SETTINGS!$F$42))))</f>
        <v>#REF!</v>
      </c>
      <c r="AA68" s="82"/>
      <c r="AB68" s="83">
        <f t="shared" si="15"/>
        <v>50</v>
      </c>
      <c r="AC68" s="12">
        <f>AB68*(0.01*IF(D68="lab",SETTINGS!$F$25,"0"))</f>
        <v>0</v>
      </c>
      <c r="AD68" s="9"/>
      <c r="AE68" s="8">
        <f t="shared" si="16"/>
        <v>50</v>
      </c>
      <c r="AF68" s="12">
        <f>AE68*(0.01*IF(D68="lab",SETTINGS!$F$26,SETTINGS!$F$32))</f>
        <v>0</v>
      </c>
      <c r="AG68" s="13">
        <f t="shared" si="17"/>
        <v>0</v>
      </c>
      <c r="AI68" s="9"/>
      <c r="AJ68" s="5"/>
      <c r="AK68" s="5"/>
      <c r="AL68" s="5"/>
      <c r="AM68" s="5"/>
      <c r="AN68" s="8">
        <f t="shared" si="21"/>
        <v>0</v>
      </c>
      <c r="AO68" s="8">
        <f t="shared" si="4"/>
        <v>50</v>
      </c>
      <c r="AP68" s="12">
        <f>AO68*(0.01*IF(D68="lab",SETTINGS!$F$22,SETTINGS!$F$29))</f>
        <v>0</v>
      </c>
      <c r="AQ68" s="9"/>
      <c r="AR68" s="9"/>
      <c r="AS68" s="5"/>
      <c r="AT68" s="5"/>
      <c r="AU68" s="5"/>
      <c r="AV68" s="8">
        <f t="shared" si="22"/>
        <v>0</v>
      </c>
      <c r="AW68" s="8">
        <f t="shared" si="5"/>
        <v>50</v>
      </c>
      <c r="AX68" s="12">
        <f>AW68*(0.01*IF(D68="lab",SETTINGS!$F$23,SETTINGS!$F$30))</f>
        <v>0</v>
      </c>
      <c r="AY68" s="9">
        <f>ATT!AJ67</f>
        <v>100</v>
      </c>
      <c r="AZ68" s="12">
        <f>AY68*(0.01*IF(D68="lab",SETTINGS!$F$21,SETTINGS!$F$28))</f>
        <v>0</v>
      </c>
      <c r="BA68" s="9">
        <v>100</v>
      </c>
      <c r="BB68" s="12">
        <f>BA68*(0.01*IF(D68="lab",SETTINGS!$F$24,SETTINGS!$F$31))</f>
        <v>0</v>
      </c>
      <c r="BC68" s="71"/>
      <c r="BD68" s="8">
        <f t="shared" si="6"/>
        <v>50</v>
      </c>
      <c r="BE68" s="12">
        <f>BD68*(0.01*IF(D68="lab",SETTINGS!$F$25,"0"))</f>
        <v>0</v>
      </c>
      <c r="BF68" s="5"/>
      <c r="BG68" s="8">
        <f t="shared" si="7"/>
        <v>50</v>
      </c>
      <c r="BH68" s="12">
        <f>BG68*(0.01*IF(D68="lab",SETTINGS!$F$26,SETTINGS!$F$32))</f>
        <v>0</v>
      </c>
      <c r="BI68" s="13">
        <f t="shared" si="9"/>
        <v>0</v>
      </c>
      <c r="BJ68" s="60"/>
    </row>
    <row r="69" spans="2:62" x14ac:dyDescent="0.25">
      <c r="B69" s="6">
        <v>63</v>
      </c>
      <c r="C69" s="76">
        <f>SETTINGS!C72</f>
        <v>0</v>
      </c>
      <c r="D69" s="81" t="s">
        <v>81</v>
      </c>
      <c r="E69" s="9"/>
      <c r="F69" s="5"/>
      <c r="G69" s="5"/>
      <c r="H69" s="5"/>
      <c r="I69" s="5"/>
      <c r="J69" s="8">
        <f t="shared" si="18"/>
        <v>0</v>
      </c>
      <c r="K69" s="8">
        <f t="shared" si="19"/>
        <v>50</v>
      </c>
      <c r="L69" s="12">
        <f>K69*(0.01*IF(D69="lab",SETTINGS!$F$22,SETTINGS!$F$29))</f>
        <v>0</v>
      </c>
      <c r="M69" s="9"/>
      <c r="N69" s="9"/>
      <c r="O69" s="9"/>
      <c r="P69" s="5"/>
      <c r="Q69" s="5"/>
      <c r="R69" s="8">
        <f t="shared" si="20"/>
        <v>0</v>
      </c>
      <c r="S69" s="11">
        <f t="shared" si="14"/>
        <v>50</v>
      </c>
      <c r="T69" s="12">
        <f>S69*(0.01*IF(D69="lab",SETTINGS!$F$23,SETTINGS!$F$30))</f>
        <v>0</v>
      </c>
      <c r="U69" s="9">
        <v>100</v>
      </c>
      <c r="V69" s="12">
        <f>U69*(0.01*IF(D69="lab",SETTINGS!$F$21,SETTINGS!$F$28))</f>
        <v>0</v>
      </c>
      <c r="W69" s="9">
        <v>100</v>
      </c>
      <c r="X69" s="12">
        <f>W69*(0.01*IF(D69="lab",SETTINGS!$F$24,SETTINGS!$F$31))</f>
        <v>0</v>
      </c>
      <c r="Y69" s="71">
        <v>0</v>
      </c>
      <c r="Z69" s="12" t="e">
        <f>Y69*(0.01*IF(#REF!="ONLINE", SETTINGS!$F$26, IF('MID-FINAL'!#REF!="BLENDED",SETTINGS!$F$34, IF('MID-FINAL'!#REF!="MODULAR",SETTINGS!$F$42))))</f>
        <v>#REF!</v>
      </c>
      <c r="AA69" s="82"/>
      <c r="AB69" s="83">
        <f t="shared" si="15"/>
        <v>50</v>
      </c>
      <c r="AC69" s="12">
        <f>AB69*(0.01*IF(D69="lab",SETTINGS!$F$25,"0"))</f>
        <v>0</v>
      </c>
      <c r="AD69" s="9"/>
      <c r="AE69" s="8">
        <f t="shared" si="16"/>
        <v>50</v>
      </c>
      <c r="AF69" s="12">
        <f>AE69*(0.01*IF(D69="lab",SETTINGS!$F$26,SETTINGS!$F$32))</f>
        <v>0</v>
      </c>
      <c r="AG69" s="13">
        <f t="shared" si="17"/>
        <v>0</v>
      </c>
      <c r="AI69" s="9"/>
      <c r="AJ69" s="5"/>
      <c r="AK69" s="5"/>
      <c r="AL69" s="5"/>
      <c r="AM69" s="5"/>
      <c r="AN69" s="8">
        <f t="shared" si="21"/>
        <v>0</v>
      </c>
      <c r="AO69" s="8">
        <f t="shared" si="4"/>
        <v>50</v>
      </c>
      <c r="AP69" s="12">
        <f>AO69*(0.01*IF(D69="lab",SETTINGS!$F$22,SETTINGS!$F$29))</f>
        <v>0</v>
      </c>
      <c r="AQ69" s="9"/>
      <c r="AR69" s="9"/>
      <c r="AS69" s="5"/>
      <c r="AT69" s="5"/>
      <c r="AU69" s="5"/>
      <c r="AV69" s="8">
        <f t="shared" si="22"/>
        <v>0</v>
      </c>
      <c r="AW69" s="8">
        <f t="shared" si="5"/>
        <v>50</v>
      </c>
      <c r="AX69" s="12">
        <f>AW69*(0.01*IF(D69="lab",SETTINGS!$F$23,SETTINGS!$F$30))</f>
        <v>0</v>
      </c>
      <c r="AY69" s="9">
        <f>ATT!AJ68</f>
        <v>100</v>
      </c>
      <c r="AZ69" s="12">
        <f>AY69*(0.01*IF(D69="lab",SETTINGS!$F$21,SETTINGS!$F$28))</f>
        <v>0</v>
      </c>
      <c r="BA69" s="9">
        <v>100</v>
      </c>
      <c r="BB69" s="12">
        <f>BA69*(0.01*IF(D69="lab",SETTINGS!$F$24,SETTINGS!$F$31))</f>
        <v>0</v>
      </c>
      <c r="BC69" s="71"/>
      <c r="BD69" s="8">
        <f t="shared" si="6"/>
        <v>50</v>
      </c>
      <c r="BE69" s="12">
        <f>BD69*(0.01*IF(D69="lab",SETTINGS!$F$25,"0"))</f>
        <v>0</v>
      </c>
      <c r="BF69" s="5"/>
      <c r="BG69" s="8">
        <f t="shared" si="7"/>
        <v>50</v>
      </c>
      <c r="BH69" s="12">
        <f>BG69*(0.01*IF(D69="lab",SETTINGS!$F$26,SETTINGS!$F$32))</f>
        <v>0</v>
      </c>
      <c r="BI69" s="13">
        <f t="shared" si="9"/>
        <v>0</v>
      </c>
      <c r="BJ69" s="60"/>
    </row>
    <row r="70" spans="2:62" x14ac:dyDescent="0.25">
      <c r="B70" s="6">
        <v>64</v>
      </c>
      <c r="C70" s="76">
        <f>SETTINGS!C73</f>
        <v>0</v>
      </c>
      <c r="D70" s="81" t="s">
        <v>81</v>
      </c>
      <c r="E70" s="9"/>
      <c r="F70" s="5"/>
      <c r="G70" s="5"/>
      <c r="H70" s="5"/>
      <c r="I70" s="5"/>
      <c r="J70" s="8">
        <f t="shared" si="18"/>
        <v>0</v>
      </c>
      <c r="K70" s="8">
        <f t="shared" si="19"/>
        <v>50</v>
      </c>
      <c r="L70" s="12">
        <f>K70*(0.01*IF(D70="lab",SETTINGS!$F$22,SETTINGS!$F$29))</f>
        <v>0</v>
      </c>
      <c r="M70" s="9"/>
      <c r="N70" s="9"/>
      <c r="O70" s="9"/>
      <c r="P70" s="5"/>
      <c r="Q70" s="5"/>
      <c r="R70" s="8">
        <f t="shared" si="20"/>
        <v>0</v>
      </c>
      <c r="S70" s="11">
        <f t="shared" ref="S70" si="23">R70/$R$6*50+50</f>
        <v>50</v>
      </c>
      <c r="T70" s="12">
        <f>S70*(0.01*IF(D70="lab",SETTINGS!$F$23,SETTINGS!$F$30))</f>
        <v>0</v>
      </c>
      <c r="U70" s="9">
        <v>100</v>
      </c>
      <c r="V70" s="12">
        <f>U70*(0.01*IF(D70="lab",SETTINGS!$F$21,SETTINGS!$F$28))</f>
        <v>0</v>
      </c>
      <c r="W70" s="9">
        <v>100</v>
      </c>
      <c r="X70" s="12">
        <f>W70*(0.01*IF(D70="lab",SETTINGS!$F$24,SETTINGS!$F$31))</f>
        <v>0</v>
      </c>
      <c r="Y70" s="71">
        <v>0</v>
      </c>
      <c r="Z70" s="12" t="e">
        <f>Y70*(0.01*IF(#REF!="ONLINE", SETTINGS!$F$26, IF('MID-FINAL'!#REF!="BLENDED",SETTINGS!$F$34, IF('MID-FINAL'!#REF!="MODULAR",SETTINGS!$F$42))))</f>
        <v>#REF!</v>
      </c>
      <c r="AA70" s="82"/>
      <c r="AB70" s="83">
        <f t="shared" ref="AB70:AB82" si="24">AA70/$AA$6*50+50</f>
        <v>50</v>
      </c>
      <c r="AC70" s="12">
        <f>AB70*(0.01*IF(D70="lab",SETTINGS!$F$25,"0"))</f>
        <v>0</v>
      </c>
      <c r="AD70" s="9"/>
      <c r="AE70" s="8">
        <f t="shared" ref="AE70:AE82" si="25">AD70/$AD$6*50+50</f>
        <v>50</v>
      </c>
      <c r="AF70" s="12">
        <f>AE70*(0.01*IF(D70="lab",SETTINGS!$F$26,SETTINGS!$F$32))</f>
        <v>0</v>
      </c>
      <c r="AG70" s="13">
        <f t="shared" si="17"/>
        <v>0</v>
      </c>
      <c r="AI70" s="9"/>
      <c r="AJ70" s="5"/>
      <c r="AK70" s="5"/>
      <c r="AL70" s="5"/>
      <c r="AM70" s="5"/>
      <c r="AN70" s="8">
        <f t="shared" si="21"/>
        <v>0</v>
      </c>
      <c r="AO70" s="8">
        <f t="shared" si="4"/>
        <v>50</v>
      </c>
      <c r="AP70" s="12">
        <f>AO70*(0.01*IF(D70="lab",SETTINGS!$F$22,SETTINGS!$F$29))</f>
        <v>0</v>
      </c>
      <c r="AQ70" s="9"/>
      <c r="AR70" s="9"/>
      <c r="AS70" s="5"/>
      <c r="AT70" s="5"/>
      <c r="AU70" s="5"/>
      <c r="AV70" s="8">
        <f t="shared" si="22"/>
        <v>0</v>
      </c>
      <c r="AW70" s="8">
        <f t="shared" si="5"/>
        <v>50</v>
      </c>
      <c r="AX70" s="12">
        <f>AW70*(0.01*IF(D70="lab",SETTINGS!$F$23,SETTINGS!$F$30))</f>
        <v>0</v>
      </c>
      <c r="AY70" s="9">
        <f>ATT!AJ69</f>
        <v>100</v>
      </c>
      <c r="AZ70" s="12">
        <f>AY70*(0.01*IF(D70="lab",SETTINGS!$F$21,SETTINGS!$F$28))</f>
        <v>0</v>
      </c>
      <c r="BA70" s="9">
        <v>100</v>
      </c>
      <c r="BB70" s="12">
        <f>BA70*(0.01*IF(D70="lab",SETTINGS!$F$24,SETTINGS!$F$31))</f>
        <v>0</v>
      </c>
      <c r="BC70" s="71"/>
      <c r="BD70" s="8">
        <f t="shared" si="6"/>
        <v>50</v>
      </c>
      <c r="BE70" s="12">
        <f>BD70*(0.01*IF(D70="lab",SETTINGS!$F$25,"0"))</f>
        <v>0</v>
      </c>
      <c r="BF70" s="5"/>
      <c r="BG70" s="8">
        <f t="shared" si="7"/>
        <v>50</v>
      </c>
      <c r="BH70" s="12">
        <f>BG70*(0.01*IF(D70="lab",SETTINGS!$F$26,SETTINGS!$F$32))</f>
        <v>0</v>
      </c>
      <c r="BI70" s="13">
        <f t="shared" si="9"/>
        <v>0</v>
      </c>
      <c r="BJ70" s="60"/>
    </row>
    <row r="71" spans="2:62" x14ac:dyDescent="0.25">
      <c r="B71" s="6">
        <v>65</v>
      </c>
      <c r="C71" s="76">
        <f>SETTINGS!C74</f>
        <v>0</v>
      </c>
      <c r="D71" s="81" t="s">
        <v>81</v>
      </c>
      <c r="E71" s="9"/>
      <c r="F71" s="5"/>
      <c r="G71" s="5"/>
      <c r="H71" s="5"/>
      <c r="I71" s="5"/>
      <c r="J71" s="8">
        <f t="shared" si="18"/>
        <v>0</v>
      </c>
      <c r="K71" s="8">
        <f t="shared" si="19"/>
        <v>50</v>
      </c>
      <c r="L71" s="12">
        <f>K71*(0.01*IF(D71="lab",SETTINGS!$F$22,SETTINGS!$F$29))</f>
        <v>0</v>
      </c>
      <c r="M71" s="9"/>
      <c r="N71" s="9"/>
      <c r="O71" s="9"/>
      <c r="P71" s="5"/>
      <c r="Q71" s="5"/>
      <c r="R71" s="8">
        <f t="shared" si="20"/>
        <v>0</v>
      </c>
      <c r="S71" s="11">
        <f t="shared" ref="S71:S82" si="26">R71/$R$6*50+50</f>
        <v>50</v>
      </c>
      <c r="T71" s="12">
        <f>S71*(0.01*IF(D71="lab",SETTINGS!$F$23,SETTINGS!$F$30))</f>
        <v>0</v>
      </c>
      <c r="U71" s="9">
        <v>100</v>
      </c>
      <c r="V71" s="12">
        <f>U71*(0.01*IF(D71="lab",SETTINGS!$F$21,SETTINGS!$F$28))</f>
        <v>0</v>
      </c>
      <c r="W71" s="9">
        <v>100</v>
      </c>
      <c r="X71" s="12">
        <f>W71*(0.01*IF(D71="lab",SETTINGS!$F$24,SETTINGS!$F$31))</f>
        <v>0</v>
      </c>
      <c r="Y71" s="71">
        <v>0</v>
      </c>
      <c r="Z71" s="12" t="e">
        <f>Y71*(0.01*IF(#REF!="ONLINE", SETTINGS!$F$26, IF('MID-FINAL'!#REF!="BLENDED",SETTINGS!$F$34, IF('MID-FINAL'!#REF!="MODULAR",SETTINGS!$F$42))))</f>
        <v>#REF!</v>
      </c>
      <c r="AA71" s="82"/>
      <c r="AB71" s="83">
        <f t="shared" si="24"/>
        <v>50</v>
      </c>
      <c r="AC71" s="12">
        <f>AB71*(0.01*IF(D71="lab",SETTINGS!$F$25,"0"))</f>
        <v>0</v>
      </c>
      <c r="AD71" s="9"/>
      <c r="AE71" s="8">
        <f t="shared" si="25"/>
        <v>50</v>
      </c>
      <c r="AF71" s="12">
        <f>AE71*(0.01*IF(D71="lab",SETTINGS!$F$26,SETTINGS!$F$32))</f>
        <v>0</v>
      </c>
      <c r="AG71" s="13">
        <f t="shared" ref="AG71:AG82" si="27">IF(U71&lt;=40,"DRP",AF71+AC71+X71+V71+T71+L71)</f>
        <v>0</v>
      </c>
      <c r="AI71" s="9"/>
      <c r="AJ71" s="5"/>
      <c r="AK71" s="5"/>
      <c r="AL71" s="5"/>
      <c r="AM71" s="5"/>
      <c r="AN71" s="8">
        <f t="shared" si="21"/>
        <v>0</v>
      </c>
      <c r="AO71" s="8">
        <f t="shared" ref="AO71:AO76" si="28">AN71/$AN$6*50+50</f>
        <v>50</v>
      </c>
      <c r="AP71" s="12">
        <f>AO71*(0.01*IF(D71="lab",SETTINGS!$F$22,SETTINGS!$F$29))</f>
        <v>0</v>
      </c>
      <c r="AQ71" s="9"/>
      <c r="AR71" s="9"/>
      <c r="AS71" s="5"/>
      <c r="AT71" s="5"/>
      <c r="AU71" s="5"/>
      <c r="AV71" s="8">
        <f t="shared" si="22"/>
        <v>0</v>
      </c>
      <c r="AW71" s="8">
        <f t="shared" ref="AW71:AW76" si="29">AV71/$AV$6*50+50</f>
        <v>50</v>
      </c>
      <c r="AX71" s="12">
        <f>AW71*(0.01*IF(D71="lab",SETTINGS!$F$23,SETTINGS!$F$30))</f>
        <v>0</v>
      </c>
      <c r="AY71" s="9">
        <f>ATT!AJ70</f>
        <v>100</v>
      </c>
      <c r="AZ71" s="12">
        <f>AY71*(0.01*IF(D71="lab",SETTINGS!$F$21,SETTINGS!$F$28))</f>
        <v>0</v>
      </c>
      <c r="BA71" s="9">
        <v>100</v>
      </c>
      <c r="BB71" s="12">
        <f>BA71*(0.01*IF(D71="lab",SETTINGS!$F$24,SETTINGS!$F$31))</f>
        <v>0</v>
      </c>
      <c r="BC71" s="71"/>
      <c r="BD71" s="8">
        <f t="shared" ref="BD71:BD82" si="30">BC71/$BC$6*50+50</f>
        <v>50</v>
      </c>
      <c r="BE71" s="12">
        <f>BD71*(0.01*IF(D71="lab",SETTINGS!$F$25,"0"))</f>
        <v>0</v>
      </c>
      <c r="BF71" s="5"/>
      <c r="BG71" s="8">
        <f t="shared" ref="BG71:BG76" si="31">BF71/$BF$6*50+50</f>
        <v>50</v>
      </c>
      <c r="BH71" s="12">
        <f>BG71*(0.01*IF(D71="lab",SETTINGS!$F$26,SETTINGS!$F$32))</f>
        <v>0</v>
      </c>
      <c r="BI71" s="13">
        <f t="shared" si="9"/>
        <v>0</v>
      </c>
      <c r="BJ71" s="60"/>
    </row>
    <row r="72" spans="2:62" x14ac:dyDescent="0.25">
      <c r="B72" s="6">
        <v>66</v>
      </c>
      <c r="C72" s="76">
        <f>SETTINGS!C75</f>
        <v>0</v>
      </c>
      <c r="D72" s="81" t="s">
        <v>81</v>
      </c>
      <c r="E72" s="9"/>
      <c r="F72" s="5"/>
      <c r="G72" s="5"/>
      <c r="H72" s="5"/>
      <c r="I72" s="5"/>
      <c r="J72" s="8">
        <f t="shared" si="18"/>
        <v>0</v>
      </c>
      <c r="K72" s="8">
        <f t="shared" si="19"/>
        <v>50</v>
      </c>
      <c r="L72" s="12">
        <f>K72*(0.01*IF(D72="lab",SETTINGS!$F$22,SETTINGS!$F$29))</f>
        <v>0</v>
      </c>
      <c r="M72" s="9"/>
      <c r="N72" s="9"/>
      <c r="O72" s="9"/>
      <c r="P72" s="5"/>
      <c r="Q72" s="5"/>
      <c r="R72" s="8">
        <f t="shared" si="20"/>
        <v>0</v>
      </c>
      <c r="S72" s="11">
        <f t="shared" si="26"/>
        <v>50</v>
      </c>
      <c r="T72" s="12">
        <f>S72*(0.01*IF(D72="lab",SETTINGS!$F$23,SETTINGS!$F$30))</f>
        <v>0</v>
      </c>
      <c r="U72" s="9">
        <v>100</v>
      </c>
      <c r="V72" s="12">
        <f>U72*(0.01*IF(D72="lab",SETTINGS!$F$21,SETTINGS!$F$28))</f>
        <v>0</v>
      </c>
      <c r="W72" s="9">
        <v>100</v>
      </c>
      <c r="X72" s="12">
        <f>W72*(0.01*IF(D72="lab",SETTINGS!$F$24,SETTINGS!$F$31))</f>
        <v>0</v>
      </c>
      <c r="Y72" s="71">
        <v>0</v>
      </c>
      <c r="Z72" s="12" t="e">
        <f>Y72*(0.01*IF(#REF!="ONLINE", SETTINGS!$F$26, IF('MID-FINAL'!#REF!="BLENDED",SETTINGS!$F$34, IF('MID-FINAL'!#REF!="MODULAR",SETTINGS!$F$42))))</f>
        <v>#REF!</v>
      </c>
      <c r="AA72" s="82"/>
      <c r="AB72" s="83">
        <f t="shared" si="24"/>
        <v>50</v>
      </c>
      <c r="AC72" s="12">
        <f>AB72*(0.01*IF(D72="lab",SETTINGS!$F$25,"0"))</f>
        <v>0</v>
      </c>
      <c r="AD72" s="9"/>
      <c r="AE72" s="8">
        <f t="shared" si="25"/>
        <v>50</v>
      </c>
      <c r="AF72" s="12">
        <f>AE72*(0.01*IF(D72="lab",SETTINGS!$F$26,SETTINGS!$F$32))</f>
        <v>0</v>
      </c>
      <c r="AG72" s="13">
        <f t="shared" si="27"/>
        <v>0</v>
      </c>
      <c r="AI72" s="9"/>
      <c r="AJ72" s="5"/>
      <c r="AK72" s="5"/>
      <c r="AL72" s="5"/>
      <c r="AM72" s="5"/>
      <c r="AN72" s="8">
        <f t="shared" si="21"/>
        <v>0</v>
      </c>
      <c r="AO72" s="8">
        <f t="shared" si="28"/>
        <v>50</v>
      </c>
      <c r="AP72" s="12">
        <f>AO72*(0.01*IF(D72="lab",SETTINGS!$F$22,SETTINGS!$F$29))</f>
        <v>0</v>
      </c>
      <c r="AQ72" s="9"/>
      <c r="AR72" s="9"/>
      <c r="AS72" s="5"/>
      <c r="AT72" s="5"/>
      <c r="AU72" s="5"/>
      <c r="AV72" s="8">
        <f t="shared" si="22"/>
        <v>0</v>
      </c>
      <c r="AW72" s="8">
        <f t="shared" si="29"/>
        <v>50</v>
      </c>
      <c r="AX72" s="12">
        <f>AW72*(0.01*IF(D72="lab",SETTINGS!$F$23,SETTINGS!$F$30))</f>
        <v>0</v>
      </c>
      <c r="AY72" s="9">
        <f>ATT!AJ71</f>
        <v>100</v>
      </c>
      <c r="AZ72" s="12">
        <f>AY72*(0.01*IF(D72="lab",SETTINGS!$F$21,SETTINGS!$F$28))</f>
        <v>0</v>
      </c>
      <c r="BA72" s="9">
        <v>100</v>
      </c>
      <c r="BB72" s="12">
        <f>BA72*(0.01*IF(D72="lab",SETTINGS!$F$24,SETTINGS!$F$31))</f>
        <v>0</v>
      </c>
      <c r="BC72" s="71"/>
      <c r="BD72" s="8">
        <f t="shared" si="30"/>
        <v>50</v>
      </c>
      <c r="BE72" s="12">
        <f>BD72*(0.01*IF(D72="lab",SETTINGS!$F$25,"0"))</f>
        <v>0</v>
      </c>
      <c r="BF72" s="5"/>
      <c r="BG72" s="8">
        <f t="shared" si="31"/>
        <v>50</v>
      </c>
      <c r="BH72" s="12">
        <f>BG72*(0.01*IF(D72="lab",SETTINGS!$F$26,SETTINGS!$F$32))</f>
        <v>0</v>
      </c>
      <c r="BI72" s="13">
        <f t="shared" ref="BI72:BI82" si="32">IF(AG72="DRP","DRP",IF(AY72&lt;=40,"FA",BH72+BE72+BB72+AZ72+AX72+AP72))</f>
        <v>0</v>
      </c>
      <c r="BJ72" s="60"/>
    </row>
    <row r="73" spans="2:62" x14ac:dyDescent="0.25">
      <c r="B73" s="6">
        <v>67</v>
      </c>
      <c r="C73" s="76">
        <f>SETTINGS!C76</f>
        <v>0</v>
      </c>
      <c r="D73" s="81" t="s">
        <v>81</v>
      </c>
      <c r="E73" s="9"/>
      <c r="F73" s="5"/>
      <c r="G73" s="5"/>
      <c r="H73" s="5"/>
      <c r="I73" s="5"/>
      <c r="J73" s="8">
        <f t="shared" si="18"/>
        <v>0</v>
      </c>
      <c r="K73" s="8">
        <f t="shared" si="19"/>
        <v>50</v>
      </c>
      <c r="L73" s="12">
        <f>K73*(0.01*IF(D73="lab",SETTINGS!$F$22,SETTINGS!$F$29))</f>
        <v>0</v>
      </c>
      <c r="M73" s="9"/>
      <c r="N73" s="9"/>
      <c r="O73" s="9"/>
      <c r="P73" s="5"/>
      <c r="Q73" s="5"/>
      <c r="R73" s="8">
        <f t="shared" si="20"/>
        <v>0</v>
      </c>
      <c r="S73" s="11">
        <f t="shared" si="26"/>
        <v>50</v>
      </c>
      <c r="T73" s="12">
        <f>S73*(0.01*IF(D73="lab",SETTINGS!$F$23,SETTINGS!$F$30))</f>
        <v>0</v>
      </c>
      <c r="U73" s="9">
        <v>100</v>
      </c>
      <c r="V73" s="12">
        <f>U73*(0.01*IF(D73="lab",SETTINGS!$F$21,SETTINGS!$F$28))</f>
        <v>0</v>
      </c>
      <c r="W73" s="9">
        <v>100</v>
      </c>
      <c r="X73" s="12">
        <f>W73*(0.01*IF(D73="lab",SETTINGS!$F$24,SETTINGS!$F$31))</f>
        <v>0</v>
      </c>
      <c r="Y73" s="71">
        <v>0</v>
      </c>
      <c r="Z73" s="12" t="e">
        <f>Y73*(0.01*IF(#REF!="ONLINE", SETTINGS!$F$26, IF('MID-FINAL'!#REF!="BLENDED",SETTINGS!$F$34, IF('MID-FINAL'!#REF!="MODULAR",SETTINGS!$F$42))))</f>
        <v>#REF!</v>
      </c>
      <c r="AA73" s="82"/>
      <c r="AB73" s="83">
        <f t="shared" si="24"/>
        <v>50</v>
      </c>
      <c r="AC73" s="12">
        <f>AB73*(0.01*IF(D73="lab",SETTINGS!$F$25,"0"))</f>
        <v>0</v>
      </c>
      <c r="AD73" s="9"/>
      <c r="AE73" s="8">
        <f t="shared" si="25"/>
        <v>50</v>
      </c>
      <c r="AF73" s="12">
        <f>AE73*(0.01*IF(D73="lab",SETTINGS!$F$26,SETTINGS!$F$32))</f>
        <v>0</v>
      </c>
      <c r="AG73" s="13">
        <f t="shared" si="27"/>
        <v>0</v>
      </c>
      <c r="AI73" s="9"/>
      <c r="AJ73" s="5"/>
      <c r="AK73" s="5"/>
      <c r="AL73" s="5"/>
      <c r="AM73" s="5"/>
      <c r="AN73" s="8">
        <f t="shared" si="21"/>
        <v>0</v>
      </c>
      <c r="AO73" s="8">
        <f t="shared" si="28"/>
        <v>50</v>
      </c>
      <c r="AP73" s="12">
        <f>AO73*(0.01*IF(D73="lab",SETTINGS!$F$22,SETTINGS!$F$29))</f>
        <v>0</v>
      </c>
      <c r="AQ73" s="9"/>
      <c r="AR73" s="9"/>
      <c r="AS73" s="5"/>
      <c r="AT73" s="5"/>
      <c r="AU73" s="5"/>
      <c r="AV73" s="8">
        <f t="shared" si="22"/>
        <v>0</v>
      </c>
      <c r="AW73" s="8">
        <f t="shared" si="29"/>
        <v>50</v>
      </c>
      <c r="AX73" s="12">
        <f>AW73*(0.01*IF(D73="lab",SETTINGS!$F$23,SETTINGS!$F$30))</f>
        <v>0</v>
      </c>
      <c r="AY73" s="9">
        <f>ATT!AJ72</f>
        <v>100</v>
      </c>
      <c r="AZ73" s="12">
        <f>AY73*(0.01*IF(D73="lab",SETTINGS!$F$21,SETTINGS!$F$28))</f>
        <v>0</v>
      </c>
      <c r="BA73" s="9">
        <v>100</v>
      </c>
      <c r="BB73" s="12">
        <f>BA73*(0.01*IF(D73="lab",SETTINGS!$F$24,SETTINGS!$F$31))</f>
        <v>0</v>
      </c>
      <c r="BC73" s="71"/>
      <c r="BD73" s="8">
        <f t="shared" si="30"/>
        <v>50</v>
      </c>
      <c r="BE73" s="12">
        <f>BD73*(0.01*IF(D73="lab",SETTINGS!$F$25,"0"))</f>
        <v>0</v>
      </c>
      <c r="BF73" s="5"/>
      <c r="BG73" s="8">
        <f t="shared" si="31"/>
        <v>50</v>
      </c>
      <c r="BH73" s="12">
        <f>BG73*(0.01*IF(D73="lab",SETTINGS!$F$26,SETTINGS!$F$32))</f>
        <v>0</v>
      </c>
      <c r="BI73" s="13">
        <f t="shared" si="32"/>
        <v>0</v>
      </c>
      <c r="BJ73" s="60"/>
    </row>
    <row r="74" spans="2:62" x14ac:dyDescent="0.25">
      <c r="B74" s="6">
        <v>68</v>
      </c>
      <c r="C74" s="76">
        <f>SETTINGS!C77</f>
        <v>0</v>
      </c>
      <c r="D74" s="81" t="s">
        <v>81</v>
      </c>
      <c r="E74" s="9"/>
      <c r="F74" s="5"/>
      <c r="G74" s="5"/>
      <c r="H74" s="5"/>
      <c r="I74" s="5"/>
      <c r="J74" s="8">
        <f t="shared" si="18"/>
        <v>0</v>
      </c>
      <c r="K74" s="8">
        <f t="shared" si="19"/>
        <v>50</v>
      </c>
      <c r="L74" s="12">
        <f>K74*(0.01*IF(D74="lab",SETTINGS!$F$22,SETTINGS!$F$29))</f>
        <v>0</v>
      </c>
      <c r="M74" s="9"/>
      <c r="N74" s="9"/>
      <c r="O74" s="9"/>
      <c r="P74" s="5"/>
      <c r="Q74" s="5"/>
      <c r="R74" s="8">
        <f t="shared" si="20"/>
        <v>0</v>
      </c>
      <c r="S74" s="11">
        <f t="shared" si="26"/>
        <v>50</v>
      </c>
      <c r="T74" s="12">
        <f>S74*(0.01*IF(D74="lab",SETTINGS!$F$23,SETTINGS!$F$30))</f>
        <v>0</v>
      </c>
      <c r="U74" s="9">
        <v>100</v>
      </c>
      <c r="V74" s="12">
        <f>U74*(0.01*IF(D74="lab",SETTINGS!$F$21,SETTINGS!$F$28))</f>
        <v>0</v>
      </c>
      <c r="W74" s="9">
        <v>100</v>
      </c>
      <c r="X74" s="12">
        <f>W74*(0.01*IF(D74="lab",SETTINGS!$F$24,SETTINGS!$F$31))</f>
        <v>0</v>
      </c>
      <c r="Y74" s="71">
        <v>0</v>
      </c>
      <c r="Z74" s="12" t="e">
        <f>Y74*(0.01*IF(#REF!="ONLINE", SETTINGS!$F$26, IF('MID-FINAL'!#REF!="BLENDED",SETTINGS!$F$34, IF('MID-FINAL'!#REF!="MODULAR",SETTINGS!$F$42))))</f>
        <v>#REF!</v>
      </c>
      <c r="AA74" s="82"/>
      <c r="AB74" s="83">
        <f t="shared" si="24"/>
        <v>50</v>
      </c>
      <c r="AC74" s="12">
        <f>AB74*(0.01*IF(D74="lab",SETTINGS!$F$25,"0"))</f>
        <v>0</v>
      </c>
      <c r="AD74" s="9"/>
      <c r="AE74" s="8">
        <f t="shared" si="25"/>
        <v>50</v>
      </c>
      <c r="AF74" s="12">
        <f>AE74*(0.01*IF(D74="lab",SETTINGS!$F$26,SETTINGS!$F$32))</f>
        <v>0</v>
      </c>
      <c r="AG74" s="13">
        <f t="shared" si="27"/>
        <v>0</v>
      </c>
      <c r="AI74" s="9"/>
      <c r="AJ74" s="5"/>
      <c r="AK74" s="5"/>
      <c r="AL74" s="5"/>
      <c r="AM74" s="5"/>
      <c r="AN74" s="8">
        <f t="shared" si="21"/>
        <v>0</v>
      </c>
      <c r="AO74" s="8">
        <f t="shared" si="28"/>
        <v>50</v>
      </c>
      <c r="AP74" s="12">
        <f>AO74*(0.01*IF(D74="lab",SETTINGS!$F$22,SETTINGS!$F$29))</f>
        <v>0</v>
      </c>
      <c r="AQ74" s="9"/>
      <c r="AR74" s="9"/>
      <c r="AS74" s="5"/>
      <c r="AT74" s="5"/>
      <c r="AU74" s="5"/>
      <c r="AV74" s="8">
        <f t="shared" si="22"/>
        <v>0</v>
      </c>
      <c r="AW74" s="8">
        <f t="shared" si="29"/>
        <v>50</v>
      </c>
      <c r="AX74" s="12">
        <f>AW74*(0.01*IF(D74="lab",SETTINGS!$F$23,SETTINGS!$F$30))</f>
        <v>0</v>
      </c>
      <c r="AY74" s="9">
        <f>ATT!AJ73</f>
        <v>100</v>
      </c>
      <c r="AZ74" s="12">
        <f>AY74*(0.01*IF(D74="lab",SETTINGS!$F$21,SETTINGS!$F$28))</f>
        <v>0</v>
      </c>
      <c r="BA74" s="9">
        <v>100</v>
      </c>
      <c r="BB74" s="12">
        <f>BA74*(0.01*IF(D74="lab",SETTINGS!$F$24,SETTINGS!$F$31))</f>
        <v>0</v>
      </c>
      <c r="BC74" s="71"/>
      <c r="BD74" s="8">
        <f t="shared" si="30"/>
        <v>50</v>
      </c>
      <c r="BE74" s="12">
        <f>BD74*(0.01*IF(D74="lab",SETTINGS!$F$25,"0"))</f>
        <v>0</v>
      </c>
      <c r="BF74" s="5"/>
      <c r="BG74" s="8">
        <f t="shared" si="31"/>
        <v>50</v>
      </c>
      <c r="BH74" s="12">
        <f>BG74*(0.01*IF(D74="lab",SETTINGS!$F$26,SETTINGS!$F$32))</f>
        <v>0</v>
      </c>
      <c r="BI74" s="13">
        <f t="shared" si="32"/>
        <v>0</v>
      </c>
      <c r="BJ74" s="60"/>
    </row>
    <row r="75" spans="2:62" x14ac:dyDescent="0.25">
      <c r="B75" s="6">
        <v>69</v>
      </c>
      <c r="C75" s="76">
        <f>SETTINGS!C78</f>
        <v>0</v>
      </c>
      <c r="D75" s="81" t="s">
        <v>81</v>
      </c>
      <c r="E75" s="9"/>
      <c r="F75" s="5"/>
      <c r="G75" s="5"/>
      <c r="H75" s="5"/>
      <c r="I75" s="5"/>
      <c r="J75" s="8">
        <f t="shared" si="18"/>
        <v>0</v>
      </c>
      <c r="K75" s="8">
        <f t="shared" si="19"/>
        <v>50</v>
      </c>
      <c r="L75" s="12">
        <f>K75*(0.01*IF(D75="lab",SETTINGS!$F$22,SETTINGS!$F$29))</f>
        <v>0</v>
      </c>
      <c r="M75" s="9"/>
      <c r="N75" s="9"/>
      <c r="O75" s="9"/>
      <c r="P75" s="5"/>
      <c r="Q75" s="5"/>
      <c r="R75" s="8">
        <f t="shared" si="20"/>
        <v>0</v>
      </c>
      <c r="S75" s="11">
        <f t="shared" si="26"/>
        <v>50</v>
      </c>
      <c r="T75" s="12">
        <f>S75*(0.01*IF(D75="lab",SETTINGS!$F$23,SETTINGS!$F$30))</f>
        <v>0</v>
      </c>
      <c r="U75" s="9">
        <v>100</v>
      </c>
      <c r="V75" s="12">
        <f>U75*(0.01*IF(D75="lab",SETTINGS!$F$21,SETTINGS!$F$28))</f>
        <v>0</v>
      </c>
      <c r="W75" s="9">
        <v>100</v>
      </c>
      <c r="X75" s="12">
        <f>W75*(0.01*IF(D75="lab",SETTINGS!$F$24,SETTINGS!$F$31))</f>
        <v>0</v>
      </c>
      <c r="Y75" s="71">
        <v>0</v>
      </c>
      <c r="Z75" s="12" t="e">
        <f>Y75*(0.01*IF(#REF!="ONLINE", SETTINGS!$F$26, IF('MID-FINAL'!#REF!="BLENDED",SETTINGS!$F$34, IF('MID-FINAL'!#REF!="MODULAR",SETTINGS!$F$42))))</f>
        <v>#REF!</v>
      </c>
      <c r="AA75" s="82"/>
      <c r="AB75" s="83">
        <f t="shared" si="24"/>
        <v>50</v>
      </c>
      <c r="AC75" s="12">
        <f>AB75*(0.01*IF(D75="lab",SETTINGS!$F$25,"0"))</f>
        <v>0</v>
      </c>
      <c r="AD75" s="9"/>
      <c r="AE75" s="8">
        <f t="shared" si="25"/>
        <v>50</v>
      </c>
      <c r="AF75" s="12">
        <f>AE75*(0.01*IF(D75="lab",SETTINGS!$F$26,SETTINGS!$F$32))</f>
        <v>0</v>
      </c>
      <c r="AG75" s="13">
        <f t="shared" si="27"/>
        <v>0</v>
      </c>
      <c r="AI75" s="9"/>
      <c r="AJ75" s="5"/>
      <c r="AK75" s="5"/>
      <c r="AL75" s="5"/>
      <c r="AM75" s="5"/>
      <c r="AN75" s="8">
        <f t="shared" si="21"/>
        <v>0</v>
      </c>
      <c r="AO75" s="8">
        <f t="shared" si="28"/>
        <v>50</v>
      </c>
      <c r="AP75" s="12">
        <f>AO75*(0.01*IF(D75="lab",SETTINGS!$F$22,SETTINGS!$F$29))</f>
        <v>0</v>
      </c>
      <c r="AQ75" s="9"/>
      <c r="AR75" s="9"/>
      <c r="AS75" s="5"/>
      <c r="AT75" s="5"/>
      <c r="AU75" s="5"/>
      <c r="AV75" s="8">
        <f t="shared" si="22"/>
        <v>0</v>
      </c>
      <c r="AW75" s="8">
        <f t="shared" si="29"/>
        <v>50</v>
      </c>
      <c r="AX75" s="12">
        <f>AW75*(0.01*IF(D75="lab",SETTINGS!$F$23,SETTINGS!$F$30))</f>
        <v>0</v>
      </c>
      <c r="AY75" s="9">
        <f>ATT!AJ74</f>
        <v>100</v>
      </c>
      <c r="AZ75" s="12">
        <f>AY75*(0.01*IF(D75="lab",SETTINGS!$F$21,SETTINGS!$F$28))</f>
        <v>0</v>
      </c>
      <c r="BA75" s="9">
        <v>100</v>
      </c>
      <c r="BB75" s="12">
        <f>BA75*(0.01*IF(D75="lab",SETTINGS!$F$24,SETTINGS!$F$31))</f>
        <v>0</v>
      </c>
      <c r="BC75" s="71"/>
      <c r="BD75" s="8">
        <f t="shared" si="30"/>
        <v>50</v>
      </c>
      <c r="BE75" s="12">
        <f>BD75*(0.01*IF(D75="lab",SETTINGS!$F$25,"0"))</f>
        <v>0</v>
      </c>
      <c r="BF75" s="5"/>
      <c r="BG75" s="8">
        <f t="shared" si="31"/>
        <v>50</v>
      </c>
      <c r="BH75" s="12">
        <f>BG75*(0.01*IF(D75="lab",SETTINGS!$F$26,SETTINGS!$F$32))</f>
        <v>0</v>
      </c>
      <c r="BI75" s="13">
        <f t="shared" si="32"/>
        <v>0</v>
      </c>
      <c r="BJ75" s="60"/>
    </row>
    <row r="76" spans="2:62" x14ac:dyDescent="0.25">
      <c r="B76" s="6">
        <v>70</v>
      </c>
      <c r="C76" s="76">
        <f>SETTINGS!C79</f>
        <v>0</v>
      </c>
      <c r="D76" s="81" t="s">
        <v>81</v>
      </c>
      <c r="E76" s="9"/>
      <c r="F76" s="5"/>
      <c r="G76" s="5"/>
      <c r="H76" s="5"/>
      <c r="I76" s="5"/>
      <c r="J76" s="8">
        <f t="shared" si="18"/>
        <v>0</v>
      </c>
      <c r="K76" s="8">
        <f t="shared" si="19"/>
        <v>50</v>
      </c>
      <c r="L76" s="12">
        <f>K76*(0.01*IF(D76="lab",SETTINGS!$F$22,SETTINGS!$F$29))</f>
        <v>0</v>
      </c>
      <c r="M76" s="9"/>
      <c r="N76" s="9"/>
      <c r="O76" s="9"/>
      <c r="P76" s="5"/>
      <c r="Q76" s="5"/>
      <c r="R76" s="8">
        <f t="shared" si="20"/>
        <v>0</v>
      </c>
      <c r="S76" s="11">
        <f t="shared" si="26"/>
        <v>50</v>
      </c>
      <c r="T76" s="12">
        <f>S76*(0.01*IF(D76="lab",SETTINGS!$F$23,SETTINGS!$F$30))</f>
        <v>0</v>
      </c>
      <c r="U76" s="9">
        <v>100</v>
      </c>
      <c r="V76" s="12">
        <f>U76*(0.01*IF(D76="lab",SETTINGS!$F$21,SETTINGS!$F$28))</f>
        <v>0</v>
      </c>
      <c r="W76" s="9">
        <v>100</v>
      </c>
      <c r="X76" s="12">
        <f>W76*(0.01*IF(D76="lab",SETTINGS!$F$24,SETTINGS!$F$31))</f>
        <v>0</v>
      </c>
      <c r="Y76" s="71">
        <v>0</v>
      </c>
      <c r="Z76" s="12" t="e">
        <f>Y76*(0.01*IF(#REF!="ONLINE", SETTINGS!$F$26, IF('MID-FINAL'!#REF!="BLENDED",SETTINGS!$F$34, IF('MID-FINAL'!#REF!="MODULAR",SETTINGS!$F$42))))</f>
        <v>#REF!</v>
      </c>
      <c r="AA76" s="82"/>
      <c r="AB76" s="83">
        <f t="shared" si="24"/>
        <v>50</v>
      </c>
      <c r="AC76" s="12">
        <f>AB76*(0.01*IF(D76="lab",SETTINGS!$F$25,"0"))</f>
        <v>0</v>
      </c>
      <c r="AD76" s="9"/>
      <c r="AE76" s="8">
        <f t="shared" si="25"/>
        <v>50</v>
      </c>
      <c r="AF76" s="12">
        <f>AE76*(0.01*IF(D76="lab",SETTINGS!$F$26,SETTINGS!$F$32))</f>
        <v>0</v>
      </c>
      <c r="AG76" s="13">
        <f t="shared" si="27"/>
        <v>0</v>
      </c>
      <c r="AI76" s="9"/>
      <c r="AJ76" s="5"/>
      <c r="AK76" s="5"/>
      <c r="AL76" s="5"/>
      <c r="AM76" s="5"/>
      <c r="AN76" s="8">
        <f t="shared" si="21"/>
        <v>0</v>
      </c>
      <c r="AO76" s="8">
        <f t="shared" si="28"/>
        <v>50</v>
      </c>
      <c r="AP76" s="12">
        <f>AO76*(0.01*IF(D76="lab",SETTINGS!$F$22,SETTINGS!$F$29))</f>
        <v>0</v>
      </c>
      <c r="AQ76" s="9"/>
      <c r="AR76" s="9"/>
      <c r="AS76" s="5"/>
      <c r="AT76" s="5"/>
      <c r="AU76" s="5"/>
      <c r="AV76" s="8">
        <f t="shared" si="22"/>
        <v>0</v>
      </c>
      <c r="AW76" s="8">
        <f t="shared" si="29"/>
        <v>50</v>
      </c>
      <c r="AX76" s="12">
        <f>AW76*(0.01*IF(D76="lab",SETTINGS!$F$23,SETTINGS!$F$30))</f>
        <v>0</v>
      </c>
      <c r="AY76" s="9">
        <f>ATT!AJ75</f>
        <v>100</v>
      </c>
      <c r="AZ76" s="12">
        <f>AY76*(0.01*IF(D76="lab",SETTINGS!$F$21,SETTINGS!$F$28))</f>
        <v>0</v>
      </c>
      <c r="BA76" s="9">
        <v>100</v>
      </c>
      <c r="BB76" s="12">
        <f>BA76*(0.01*IF(D76="lab",SETTINGS!$F$24,SETTINGS!$F$31))</f>
        <v>0</v>
      </c>
      <c r="BC76" s="71"/>
      <c r="BD76" s="8">
        <f t="shared" si="30"/>
        <v>50</v>
      </c>
      <c r="BE76" s="12">
        <f>BD76*(0.01*IF(D76="lab",SETTINGS!$F$25,"0"))</f>
        <v>0</v>
      </c>
      <c r="BF76" s="5"/>
      <c r="BG76" s="8">
        <f t="shared" si="31"/>
        <v>50</v>
      </c>
      <c r="BH76" s="12">
        <f>BG76*(0.01*IF(D76="lab",SETTINGS!$F$26,SETTINGS!$F$32))</f>
        <v>0</v>
      </c>
      <c r="BI76" s="13">
        <f t="shared" si="32"/>
        <v>0</v>
      </c>
      <c r="BJ76" s="60"/>
    </row>
    <row r="77" spans="2:62" x14ac:dyDescent="0.25">
      <c r="B77" s="6">
        <v>71</v>
      </c>
      <c r="C77" s="76">
        <f>SETTINGS!C80</f>
        <v>0</v>
      </c>
      <c r="D77" s="81" t="s">
        <v>81</v>
      </c>
      <c r="E77" s="9"/>
      <c r="F77" s="5"/>
      <c r="G77" s="5"/>
      <c r="H77" s="5"/>
      <c r="I77" s="5"/>
      <c r="J77" s="8">
        <f t="shared" ref="J77:J82" si="33">SUM(E77:I77)</f>
        <v>0</v>
      </c>
      <c r="K77" s="8">
        <f t="shared" ref="K77:K82" si="34">J77/$J$6*50+50</f>
        <v>50</v>
      </c>
      <c r="L77" s="12">
        <f>K77*(0.01*IF(D77="lab",SETTINGS!$F$22,SETTINGS!$F$29))</f>
        <v>0</v>
      </c>
      <c r="M77" s="9"/>
      <c r="N77" s="9"/>
      <c r="O77" s="9"/>
      <c r="P77" s="5"/>
      <c r="Q77" s="5"/>
      <c r="R77" s="8">
        <f t="shared" ref="R77:R82" si="35">SUM(M77:Q77)</f>
        <v>0</v>
      </c>
      <c r="S77" s="11">
        <f t="shared" si="26"/>
        <v>50</v>
      </c>
      <c r="T77" s="12">
        <f>S77*(0.01*IF(D77="lab",SETTINGS!$F$23,SETTINGS!$F$30))</f>
        <v>0</v>
      </c>
      <c r="U77" s="9">
        <v>100</v>
      </c>
      <c r="V77" s="12">
        <f>U77*(0.01*IF(D77="lab",SETTINGS!$F$21,SETTINGS!$F$28))</f>
        <v>0</v>
      </c>
      <c r="W77" s="9">
        <v>100</v>
      </c>
      <c r="X77" s="12">
        <f>W77*(0.01*IF(D77="lab",SETTINGS!$F$24,SETTINGS!$F$31))</f>
        <v>0</v>
      </c>
      <c r="Y77" s="71">
        <v>0</v>
      </c>
      <c r="Z77" s="12" t="e">
        <f>Y77*(0.01*IF(#REF!="ONLINE", SETTINGS!$F$26, IF('MID-FINAL'!#REF!="BLENDED",SETTINGS!$F$34, IF('MID-FINAL'!#REF!="MODULAR",SETTINGS!$F$42))))</f>
        <v>#REF!</v>
      </c>
      <c r="AA77" s="82"/>
      <c r="AB77" s="83">
        <f t="shared" si="24"/>
        <v>50</v>
      </c>
      <c r="AC77" s="12">
        <f>AB77*(0.01*IF(D77="lab",SETTINGS!$F$25,"0"))</f>
        <v>0</v>
      </c>
      <c r="AD77" s="9"/>
      <c r="AE77" s="8">
        <f t="shared" si="25"/>
        <v>50</v>
      </c>
      <c r="AF77" s="12">
        <f>AE77*(0.01*IF(D77="lab",SETTINGS!$F$26,SETTINGS!$F$32))</f>
        <v>0</v>
      </c>
      <c r="AG77" s="13">
        <f t="shared" si="27"/>
        <v>0</v>
      </c>
      <c r="AI77" s="9"/>
      <c r="AJ77" s="5"/>
      <c r="AK77" s="5"/>
      <c r="AL77" s="5"/>
      <c r="AM77" s="5"/>
      <c r="AN77" s="8">
        <f t="shared" ref="AN77:AN82" si="36">SUM(AI77:AM77)</f>
        <v>0</v>
      </c>
      <c r="AO77" s="8">
        <f t="shared" ref="AO77:AO82" si="37">AN77/$AN$6*50+50</f>
        <v>50</v>
      </c>
      <c r="AP77" s="12">
        <f>AO77*(0.01*IF(D77="lab",SETTINGS!$F$22,SETTINGS!$F$29))</f>
        <v>0</v>
      </c>
      <c r="AQ77" s="9"/>
      <c r="AR77" s="9"/>
      <c r="AS77" s="5"/>
      <c r="AT77" s="5"/>
      <c r="AU77" s="5"/>
      <c r="AV77" s="8">
        <f t="shared" ref="AV77:AV82" si="38">SUM(AQ77:AU77)</f>
        <v>0</v>
      </c>
      <c r="AW77" s="8">
        <f t="shared" ref="AW77:AW82" si="39">AV77/$AV$6*50+50</f>
        <v>50</v>
      </c>
      <c r="AX77" s="12">
        <f>AW77*(0.01*IF(D77="lab",SETTINGS!$F$23,SETTINGS!$F$30))</f>
        <v>0</v>
      </c>
      <c r="AY77" s="9">
        <f>ATT!AJ76</f>
        <v>100</v>
      </c>
      <c r="AZ77" s="12">
        <f>AY77*(0.01*IF(D77="lab",SETTINGS!$F$21,SETTINGS!$F$28))</f>
        <v>0</v>
      </c>
      <c r="BA77" s="9">
        <v>100</v>
      </c>
      <c r="BB77" s="12">
        <f>BA77*(0.01*IF(D77="lab",SETTINGS!$F$24,SETTINGS!$F$31))</f>
        <v>0</v>
      </c>
      <c r="BC77" s="71"/>
      <c r="BD77" s="8">
        <f t="shared" si="30"/>
        <v>50</v>
      </c>
      <c r="BE77" s="12">
        <f>BD77*(0.01*IF(D77="lab",SETTINGS!$F$25,"0"))</f>
        <v>0</v>
      </c>
      <c r="BF77" s="5"/>
      <c r="BG77" s="8">
        <f t="shared" ref="BG77:BG82" si="40">BF77/$BF$6*50+50</f>
        <v>50</v>
      </c>
      <c r="BH77" s="12">
        <f>BG77*(0.01*IF(D77="lab",SETTINGS!$F$26,SETTINGS!$F$32))</f>
        <v>0</v>
      </c>
      <c r="BI77" s="13">
        <f t="shared" si="32"/>
        <v>0</v>
      </c>
      <c r="BJ77" s="60"/>
    </row>
    <row r="78" spans="2:62" x14ac:dyDescent="0.25">
      <c r="B78" s="6">
        <v>72</v>
      </c>
      <c r="C78" s="76">
        <f>SETTINGS!C81</f>
        <v>0</v>
      </c>
      <c r="D78" s="81" t="s">
        <v>81</v>
      </c>
      <c r="E78" s="9"/>
      <c r="F78" s="5"/>
      <c r="G78" s="5"/>
      <c r="H78" s="5"/>
      <c r="I78" s="5"/>
      <c r="J78" s="8">
        <f t="shared" si="33"/>
        <v>0</v>
      </c>
      <c r="K78" s="8">
        <f t="shared" si="34"/>
        <v>50</v>
      </c>
      <c r="L78" s="12">
        <f>K78*(0.01*IF(D78="lab",SETTINGS!$F$22,SETTINGS!$F$29))</f>
        <v>0</v>
      </c>
      <c r="M78" s="9"/>
      <c r="N78" s="9"/>
      <c r="O78" s="9"/>
      <c r="P78" s="5"/>
      <c r="Q78" s="5"/>
      <c r="R78" s="8">
        <f t="shared" si="35"/>
        <v>0</v>
      </c>
      <c r="S78" s="11">
        <f t="shared" si="26"/>
        <v>50</v>
      </c>
      <c r="T78" s="12">
        <f>S78*(0.01*IF(D78="lab",SETTINGS!$F$23,SETTINGS!$F$30))</f>
        <v>0</v>
      </c>
      <c r="U78" s="9">
        <v>100</v>
      </c>
      <c r="V78" s="12">
        <f>U78*(0.01*IF(D78="lab",SETTINGS!$F$21,SETTINGS!$F$28))</f>
        <v>0</v>
      </c>
      <c r="W78" s="9">
        <v>100</v>
      </c>
      <c r="X78" s="12">
        <f>W78*(0.01*IF(D78="lab",SETTINGS!$F$24,SETTINGS!$F$31))</f>
        <v>0</v>
      </c>
      <c r="Y78" s="71">
        <v>0</v>
      </c>
      <c r="Z78" s="12" t="e">
        <f>Y78*(0.01*IF(#REF!="ONLINE", SETTINGS!$F$26, IF('MID-FINAL'!#REF!="BLENDED",SETTINGS!$F$34, IF('MID-FINAL'!#REF!="MODULAR",SETTINGS!$F$42))))</f>
        <v>#REF!</v>
      </c>
      <c r="AA78" s="82"/>
      <c r="AB78" s="83">
        <f t="shared" si="24"/>
        <v>50</v>
      </c>
      <c r="AC78" s="12">
        <f>AB78*(0.01*IF(D78="lab",SETTINGS!$F$25,"0"))</f>
        <v>0</v>
      </c>
      <c r="AD78" s="9"/>
      <c r="AE78" s="8">
        <f t="shared" si="25"/>
        <v>50</v>
      </c>
      <c r="AF78" s="12">
        <f>AE78*(0.01*IF(D78="lab",SETTINGS!$F$26,SETTINGS!$F$32))</f>
        <v>0</v>
      </c>
      <c r="AG78" s="13">
        <f t="shared" si="27"/>
        <v>0</v>
      </c>
      <c r="AI78" s="9"/>
      <c r="AJ78" s="5"/>
      <c r="AK78" s="5"/>
      <c r="AL78" s="5"/>
      <c r="AM78" s="5"/>
      <c r="AN78" s="8">
        <f t="shared" si="36"/>
        <v>0</v>
      </c>
      <c r="AO78" s="8">
        <f t="shared" si="37"/>
        <v>50</v>
      </c>
      <c r="AP78" s="12">
        <f>AO78*(0.01*IF(D78="lab",SETTINGS!$F$22,SETTINGS!$F$29))</f>
        <v>0</v>
      </c>
      <c r="AQ78" s="9"/>
      <c r="AR78" s="9"/>
      <c r="AS78" s="5"/>
      <c r="AT78" s="5"/>
      <c r="AU78" s="5"/>
      <c r="AV78" s="8">
        <f t="shared" si="38"/>
        <v>0</v>
      </c>
      <c r="AW78" s="8">
        <f t="shared" si="39"/>
        <v>50</v>
      </c>
      <c r="AX78" s="12">
        <f>AW78*(0.01*IF(D78="lab",SETTINGS!$F$23,SETTINGS!$F$30))</f>
        <v>0</v>
      </c>
      <c r="AY78" s="9">
        <f>ATT!AJ77</f>
        <v>100</v>
      </c>
      <c r="AZ78" s="12">
        <f>AY78*(0.01*IF(D78="lab",SETTINGS!$F$21,SETTINGS!$F$28))</f>
        <v>0</v>
      </c>
      <c r="BA78" s="9">
        <v>100</v>
      </c>
      <c r="BB78" s="12">
        <f>BA78*(0.01*IF(D78="lab",SETTINGS!$F$24,SETTINGS!$F$31))</f>
        <v>0</v>
      </c>
      <c r="BC78" s="71"/>
      <c r="BD78" s="8">
        <f t="shared" si="30"/>
        <v>50</v>
      </c>
      <c r="BE78" s="12">
        <f>BD78*(0.01*IF(D78="lab",SETTINGS!$F$25,"0"))</f>
        <v>0</v>
      </c>
      <c r="BF78" s="5"/>
      <c r="BG78" s="8">
        <f t="shared" si="40"/>
        <v>50</v>
      </c>
      <c r="BH78" s="12">
        <f>BG78*(0.01*IF(D78="lab",SETTINGS!$F$26,SETTINGS!$F$32))</f>
        <v>0</v>
      </c>
      <c r="BI78" s="13">
        <f t="shared" si="32"/>
        <v>0</v>
      </c>
      <c r="BJ78" s="60"/>
    </row>
    <row r="79" spans="2:62" x14ac:dyDescent="0.25">
      <c r="B79" s="6">
        <v>73</v>
      </c>
      <c r="C79" s="76">
        <f>SETTINGS!C82</f>
        <v>0</v>
      </c>
      <c r="D79" s="81" t="s">
        <v>81</v>
      </c>
      <c r="E79" s="9"/>
      <c r="F79" s="5"/>
      <c r="G79" s="5"/>
      <c r="H79" s="5"/>
      <c r="I79" s="5"/>
      <c r="J79" s="8">
        <f t="shared" si="33"/>
        <v>0</v>
      </c>
      <c r="K79" s="8">
        <f t="shared" si="34"/>
        <v>50</v>
      </c>
      <c r="L79" s="12">
        <f>K79*(0.01*IF(D79="lab",SETTINGS!$F$22,SETTINGS!$F$29))</f>
        <v>0</v>
      </c>
      <c r="M79" s="9"/>
      <c r="N79" s="9"/>
      <c r="O79" s="9"/>
      <c r="P79" s="5"/>
      <c r="Q79" s="5"/>
      <c r="R79" s="8">
        <f t="shared" si="35"/>
        <v>0</v>
      </c>
      <c r="S79" s="11">
        <f t="shared" si="26"/>
        <v>50</v>
      </c>
      <c r="T79" s="12">
        <f>S79*(0.01*IF(D79="lab",SETTINGS!$F$23,SETTINGS!$F$30))</f>
        <v>0</v>
      </c>
      <c r="U79" s="9">
        <v>100</v>
      </c>
      <c r="V79" s="12">
        <f>U79*(0.01*IF(D79="lab",SETTINGS!$F$21,SETTINGS!$F$28))</f>
        <v>0</v>
      </c>
      <c r="W79" s="9">
        <v>100</v>
      </c>
      <c r="X79" s="12">
        <f>W79*(0.01*IF(D79="lab",SETTINGS!$F$24,SETTINGS!$F$31))</f>
        <v>0</v>
      </c>
      <c r="Y79" s="71">
        <v>0</v>
      </c>
      <c r="Z79" s="12" t="e">
        <f>Y79*(0.01*IF(#REF!="ONLINE", SETTINGS!$F$26, IF('MID-FINAL'!#REF!="BLENDED",SETTINGS!$F$34, IF('MID-FINAL'!#REF!="MODULAR",SETTINGS!$F$42))))</f>
        <v>#REF!</v>
      </c>
      <c r="AA79" s="82"/>
      <c r="AB79" s="83">
        <f t="shared" si="24"/>
        <v>50</v>
      </c>
      <c r="AC79" s="12">
        <f>AB79*(0.01*IF(D79="lab",SETTINGS!$F$25,"0"))</f>
        <v>0</v>
      </c>
      <c r="AD79" s="9"/>
      <c r="AE79" s="8">
        <f t="shared" si="25"/>
        <v>50</v>
      </c>
      <c r="AF79" s="12">
        <f>AE79*(0.01*IF(D79="lab",SETTINGS!$F$26,SETTINGS!$F$32))</f>
        <v>0</v>
      </c>
      <c r="AG79" s="13">
        <f t="shared" si="27"/>
        <v>0</v>
      </c>
      <c r="AI79" s="9"/>
      <c r="AJ79" s="5"/>
      <c r="AK79" s="5"/>
      <c r="AL79" s="5"/>
      <c r="AM79" s="5"/>
      <c r="AN79" s="8">
        <f t="shared" si="36"/>
        <v>0</v>
      </c>
      <c r="AO79" s="8">
        <f t="shared" si="37"/>
        <v>50</v>
      </c>
      <c r="AP79" s="12">
        <f>AO79*(0.01*IF(D79="lab",SETTINGS!$F$22,SETTINGS!$F$29))</f>
        <v>0</v>
      </c>
      <c r="AQ79" s="9"/>
      <c r="AR79" s="9"/>
      <c r="AS79" s="5"/>
      <c r="AT79" s="5"/>
      <c r="AU79" s="5"/>
      <c r="AV79" s="8">
        <f t="shared" si="38"/>
        <v>0</v>
      </c>
      <c r="AW79" s="8">
        <f t="shared" si="39"/>
        <v>50</v>
      </c>
      <c r="AX79" s="12">
        <f>AW79*(0.01*IF(D79="lab",SETTINGS!$F$23,SETTINGS!$F$30))</f>
        <v>0</v>
      </c>
      <c r="AY79" s="9">
        <f>ATT!AJ78</f>
        <v>100</v>
      </c>
      <c r="AZ79" s="12">
        <f>AY79*(0.01*IF(D79="lab",SETTINGS!$F$21,SETTINGS!$F$28))</f>
        <v>0</v>
      </c>
      <c r="BA79" s="9">
        <v>100</v>
      </c>
      <c r="BB79" s="12">
        <f>BA79*(0.01*IF(D79="lab",SETTINGS!$F$24,SETTINGS!$F$31))</f>
        <v>0</v>
      </c>
      <c r="BC79" s="71"/>
      <c r="BD79" s="8">
        <f t="shared" si="30"/>
        <v>50</v>
      </c>
      <c r="BE79" s="12">
        <f>BD79*(0.01*IF(D79="lab",SETTINGS!$F$25,"0"))</f>
        <v>0</v>
      </c>
      <c r="BF79" s="5"/>
      <c r="BG79" s="8">
        <f t="shared" si="40"/>
        <v>50</v>
      </c>
      <c r="BH79" s="12">
        <f>BG79*(0.01*IF(D79="lab",SETTINGS!$F$26,SETTINGS!$F$32))</f>
        <v>0</v>
      </c>
      <c r="BI79" s="13">
        <f t="shared" si="32"/>
        <v>0</v>
      </c>
      <c r="BJ79" s="60"/>
    </row>
    <row r="80" spans="2:62" x14ac:dyDescent="0.25">
      <c r="B80" s="6">
        <v>74</v>
      </c>
      <c r="C80" s="76">
        <f>SETTINGS!C83</f>
        <v>0</v>
      </c>
      <c r="D80" s="81" t="s">
        <v>81</v>
      </c>
      <c r="E80" s="9"/>
      <c r="F80" s="5"/>
      <c r="G80" s="5"/>
      <c r="H80" s="5"/>
      <c r="I80" s="5"/>
      <c r="J80" s="8">
        <f t="shared" si="33"/>
        <v>0</v>
      </c>
      <c r="K80" s="8">
        <f t="shared" si="34"/>
        <v>50</v>
      </c>
      <c r="L80" s="12">
        <f>K80*(0.01*IF(D80="lab",SETTINGS!$F$22,SETTINGS!$F$29))</f>
        <v>0</v>
      </c>
      <c r="M80" s="9"/>
      <c r="N80" s="9"/>
      <c r="O80" s="9"/>
      <c r="P80" s="5"/>
      <c r="Q80" s="5"/>
      <c r="R80" s="8">
        <f t="shared" si="35"/>
        <v>0</v>
      </c>
      <c r="S80" s="11">
        <f t="shared" si="26"/>
        <v>50</v>
      </c>
      <c r="T80" s="12">
        <f>S80*(0.01*IF(D80="lab",SETTINGS!$F$23,SETTINGS!$F$30))</f>
        <v>0</v>
      </c>
      <c r="U80" s="9">
        <v>100</v>
      </c>
      <c r="V80" s="12">
        <f>U80*(0.01*IF(D80="lab",SETTINGS!$F$21,SETTINGS!$F$28))</f>
        <v>0</v>
      </c>
      <c r="W80" s="9">
        <v>100</v>
      </c>
      <c r="X80" s="12">
        <f>W80*(0.01*IF(D80="lab",SETTINGS!$F$24,SETTINGS!$F$31))</f>
        <v>0</v>
      </c>
      <c r="Y80" s="71">
        <v>0</v>
      </c>
      <c r="Z80" s="12" t="e">
        <f>Y80*(0.01*IF(#REF!="ONLINE", SETTINGS!$F$26, IF('MID-FINAL'!#REF!="BLENDED",SETTINGS!$F$34, IF('MID-FINAL'!#REF!="MODULAR",SETTINGS!$F$42))))</f>
        <v>#REF!</v>
      </c>
      <c r="AA80" s="82"/>
      <c r="AB80" s="83">
        <f t="shared" si="24"/>
        <v>50</v>
      </c>
      <c r="AC80" s="12">
        <f>AB80*(0.01*IF(D80="lab",SETTINGS!$F$25,"0"))</f>
        <v>0</v>
      </c>
      <c r="AD80" s="9"/>
      <c r="AE80" s="8">
        <f t="shared" si="25"/>
        <v>50</v>
      </c>
      <c r="AF80" s="12">
        <f>AE80*(0.01*IF(D80="lab",SETTINGS!$F$26,SETTINGS!$F$32))</f>
        <v>0</v>
      </c>
      <c r="AG80" s="13">
        <f t="shared" si="27"/>
        <v>0</v>
      </c>
      <c r="AI80" s="9"/>
      <c r="AJ80" s="5"/>
      <c r="AK80" s="5"/>
      <c r="AL80" s="5"/>
      <c r="AM80" s="5"/>
      <c r="AN80" s="8">
        <f t="shared" si="36"/>
        <v>0</v>
      </c>
      <c r="AO80" s="8">
        <f t="shared" si="37"/>
        <v>50</v>
      </c>
      <c r="AP80" s="12">
        <f>AO80*(0.01*IF(D80="lab",SETTINGS!$F$22,SETTINGS!$F$29))</f>
        <v>0</v>
      </c>
      <c r="AQ80" s="9"/>
      <c r="AR80" s="9"/>
      <c r="AS80" s="5"/>
      <c r="AT80" s="5"/>
      <c r="AU80" s="5"/>
      <c r="AV80" s="8">
        <f t="shared" si="38"/>
        <v>0</v>
      </c>
      <c r="AW80" s="8">
        <f t="shared" si="39"/>
        <v>50</v>
      </c>
      <c r="AX80" s="12">
        <f>AW80*(0.01*IF(D80="lab",SETTINGS!$F$23,SETTINGS!$F$30))</f>
        <v>0</v>
      </c>
      <c r="AY80" s="9">
        <f>ATT!AJ79</f>
        <v>100</v>
      </c>
      <c r="AZ80" s="12">
        <f>AY80*(0.01*IF(D80="lab",SETTINGS!$F$21,SETTINGS!$F$28))</f>
        <v>0</v>
      </c>
      <c r="BA80" s="9">
        <v>100</v>
      </c>
      <c r="BB80" s="12">
        <f>BA80*(0.01*IF(D80="lab",SETTINGS!$F$24,SETTINGS!$F$31))</f>
        <v>0</v>
      </c>
      <c r="BC80" s="71"/>
      <c r="BD80" s="8">
        <f t="shared" si="30"/>
        <v>50</v>
      </c>
      <c r="BE80" s="12">
        <f>BD80*(0.01*IF(D80="lab",SETTINGS!$F$25,"0"))</f>
        <v>0</v>
      </c>
      <c r="BF80" s="5"/>
      <c r="BG80" s="8">
        <f t="shared" si="40"/>
        <v>50</v>
      </c>
      <c r="BH80" s="12">
        <f>BG80*(0.01*IF(D80="lab",SETTINGS!$F$26,SETTINGS!$F$32))</f>
        <v>0</v>
      </c>
      <c r="BI80" s="13">
        <f t="shared" si="32"/>
        <v>0</v>
      </c>
      <c r="BJ80" s="60"/>
    </row>
    <row r="81" spans="2:62" x14ac:dyDescent="0.25">
      <c r="B81" s="6">
        <v>75</v>
      </c>
      <c r="C81" s="76">
        <f>SETTINGS!C84</f>
        <v>0</v>
      </c>
      <c r="D81" s="81" t="s">
        <v>81</v>
      </c>
      <c r="E81" s="9"/>
      <c r="F81" s="5"/>
      <c r="G81" s="5"/>
      <c r="H81" s="5"/>
      <c r="I81" s="5"/>
      <c r="J81" s="8">
        <f t="shared" si="33"/>
        <v>0</v>
      </c>
      <c r="K81" s="8">
        <f t="shared" si="34"/>
        <v>50</v>
      </c>
      <c r="L81" s="12">
        <f>K81*(0.01*IF(D81="lab",SETTINGS!$F$22,SETTINGS!$F$29))</f>
        <v>0</v>
      </c>
      <c r="M81" s="9"/>
      <c r="N81" s="9"/>
      <c r="O81" s="9"/>
      <c r="P81" s="5"/>
      <c r="Q81" s="5"/>
      <c r="R81" s="8">
        <f t="shared" si="35"/>
        <v>0</v>
      </c>
      <c r="S81" s="11">
        <f t="shared" si="26"/>
        <v>50</v>
      </c>
      <c r="T81" s="12">
        <f>S81*(0.01*IF(D81="lab",SETTINGS!$F$23,SETTINGS!$F$30))</f>
        <v>0</v>
      </c>
      <c r="U81" s="9">
        <v>100</v>
      </c>
      <c r="V81" s="12">
        <f>U81*(0.01*IF(D81="lab",SETTINGS!$F$21,SETTINGS!$F$28))</f>
        <v>0</v>
      </c>
      <c r="W81" s="9">
        <v>100</v>
      </c>
      <c r="X81" s="12">
        <f>W81*(0.01*IF(D81="lab",SETTINGS!$F$24,SETTINGS!$F$31))</f>
        <v>0</v>
      </c>
      <c r="Y81" s="71">
        <v>0</v>
      </c>
      <c r="Z81" s="12" t="e">
        <f>Y81*(0.01*IF(#REF!="ONLINE", SETTINGS!$F$26, IF('MID-FINAL'!#REF!="BLENDED",SETTINGS!$F$34, IF('MID-FINAL'!#REF!="MODULAR",SETTINGS!$F$42))))</f>
        <v>#REF!</v>
      </c>
      <c r="AA81" s="82"/>
      <c r="AB81" s="83">
        <f t="shared" si="24"/>
        <v>50</v>
      </c>
      <c r="AC81" s="12">
        <f>AB81*(0.01*IF(D81="lab",SETTINGS!$F$25,"0"))</f>
        <v>0</v>
      </c>
      <c r="AD81" s="9"/>
      <c r="AE81" s="8">
        <f t="shared" si="25"/>
        <v>50</v>
      </c>
      <c r="AF81" s="12">
        <f>AE81*(0.01*IF(D81="lab",SETTINGS!$F$26,SETTINGS!$F$32))</f>
        <v>0</v>
      </c>
      <c r="AG81" s="13">
        <f t="shared" si="27"/>
        <v>0</v>
      </c>
      <c r="AI81" s="9"/>
      <c r="AJ81" s="5"/>
      <c r="AK81" s="5"/>
      <c r="AL81" s="5"/>
      <c r="AM81" s="5"/>
      <c r="AN81" s="8">
        <f t="shared" si="36"/>
        <v>0</v>
      </c>
      <c r="AO81" s="8">
        <f t="shared" si="37"/>
        <v>50</v>
      </c>
      <c r="AP81" s="12">
        <f>AO81*(0.01*IF(D81="lab",SETTINGS!$F$22,SETTINGS!$F$29))</f>
        <v>0</v>
      </c>
      <c r="AQ81" s="9"/>
      <c r="AR81" s="9"/>
      <c r="AS81" s="5"/>
      <c r="AT81" s="5"/>
      <c r="AU81" s="5"/>
      <c r="AV81" s="8">
        <f t="shared" si="38"/>
        <v>0</v>
      </c>
      <c r="AW81" s="8">
        <f t="shared" si="39"/>
        <v>50</v>
      </c>
      <c r="AX81" s="12">
        <f>AW81*(0.01*IF(D81="lab",SETTINGS!$F$23,SETTINGS!$F$30))</f>
        <v>0</v>
      </c>
      <c r="AY81" s="9">
        <f>ATT!AJ80</f>
        <v>100</v>
      </c>
      <c r="AZ81" s="12">
        <f>AY81*(0.01*IF(D81="lab",SETTINGS!$F$21,SETTINGS!$F$28))</f>
        <v>0</v>
      </c>
      <c r="BA81" s="9">
        <v>100</v>
      </c>
      <c r="BB81" s="12">
        <f>BA81*(0.01*IF(D81="lab",SETTINGS!$F$24,SETTINGS!$F$31))</f>
        <v>0</v>
      </c>
      <c r="BC81" s="71"/>
      <c r="BD81" s="8">
        <f t="shared" si="30"/>
        <v>50</v>
      </c>
      <c r="BE81" s="12">
        <f>BD81*(0.01*IF(D81="lab",SETTINGS!$F$25,"0"))</f>
        <v>0</v>
      </c>
      <c r="BF81" s="5"/>
      <c r="BG81" s="8">
        <f t="shared" si="40"/>
        <v>50</v>
      </c>
      <c r="BH81" s="12">
        <f>BG81*(0.01*IF(D81="lab",SETTINGS!$F$26,SETTINGS!$F$32))</f>
        <v>0</v>
      </c>
      <c r="BI81" s="13">
        <f t="shared" si="32"/>
        <v>0</v>
      </c>
      <c r="BJ81" s="60"/>
    </row>
    <row r="82" spans="2:62" x14ac:dyDescent="0.25">
      <c r="B82" s="6">
        <v>76</v>
      </c>
      <c r="C82" s="76">
        <f>SETTINGS!C85</f>
        <v>0</v>
      </c>
      <c r="D82" s="81" t="s">
        <v>81</v>
      </c>
      <c r="E82" s="9"/>
      <c r="F82" s="5"/>
      <c r="G82" s="5"/>
      <c r="H82" s="5"/>
      <c r="I82" s="5"/>
      <c r="J82" s="8">
        <f t="shared" si="33"/>
        <v>0</v>
      </c>
      <c r="K82" s="8">
        <f t="shared" si="34"/>
        <v>50</v>
      </c>
      <c r="L82" s="12">
        <f>K82*(0.01*IF(D82="lab",SETTINGS!$F$22,SETTINGS!$F$29))</f>
        <v>0</v>
      </c>
      <c r="M82" s="9"/>
      <c r="N82" s="9"/>
      <c r="O82" s="9"/>
      <c r="P82" s="5"/>
      <c r="Q82" s="5"/>
      <c r="R82" s="8">
        <f t="shared" si="35"/>
        <v>0</v>
      </c>
      <c r="S82" s="11">
        <f t="shared" si="26"/>
        <v>50</v>
      </c>
      <c r="T82" s="12">
        <f>S82*(0.01*IF(D82="lab",SETTINGS!$F$23,SETTINGS!$F$30))</f>
        <v>0</v>
      </c>
      <c r="U82" s="9">
        <v>100</v>
      </c>
      <c r="V82" s="12">
        <f>U82*(0.01*IF(D82="lab",SETTINGS!$F$21,SETTINGS!$F$28))</f>
        <v>0</v>
      </c>
      <c r="W82" s="9">
        <v>100</v>
      </c>
      <c r="X82" s="12">
        <f>W82*(0.01*IF(D82="lab",SETTINGS!$F$24,SETTINGS!$F$31))</f>
        <v>0</v>
      </c>
      <c r="Y82" s="71">
        <v>0</v>
      </c>
      <c r="Z82" s="12" t="e">
        <f>Y82*(0.01*IF(#REF!="ONLINE", SETTINGS!$F$26, IF('MID-FINAL'!#REF!="BLENDED",SETTINGS!$F$34, IF('MID-FINAL'!#REF!="MODULAR",SETTINGS!$F$42))))</f>
        <v>#REF!</v>
      </c>
      <c r="AA82" s="82"/>
      <c r="AB82" s="83">
        <f t="shared" si="24"/>
        <v>50</v>
      </c>
      <c r="AC82" s="12">
        <f>AB82*(0.01*IF(D82="lab",SETTINGS!$F$25,"0"))</f>
        <v>0</v>
      </c>
      <c r="AD82" s="9"/>
      <c r="AE82" s="8">
        <f t="shared" si="25"/>
        <v>50</v>
      </c>
      <c r="AF82" s="12">
        <f>AE82*(0.01*IF(D82="lab",SETTINGS!$F$26,SETTINGS!$F$32))</f>
        <v>0</v>
      </c>
      <c r="AG82" s="13">
        <f t="shared" si="27"/>
        <v>0</v>
      </c>
      <c r="AI82" s="9"/>
      <c r="AJ82" s="5"/>
      <c r="AK82" s="5"/>
      <c r="AL82" s="5"/>
      <c r="AM82" s="5"/>
      <c r="AN82" s="8">
        <f t="shared" si="36"/>
        <v>0</v>
      </c>
      <c r="AO82" s="8">
        <f t="shared" si="37"/>
        <v>50</v>
      </c>
      <c r="AP82" s="12">
        <f>AO82*(0.01*IF(D82="lab",SETTINGS!$F$22,SETTINGS!$F$29))</f>
        <v>0</v>
      </c>
      <c r="AQ82" s="9"/>
      <c r="AR82" s="9"/>
      <c r="AS82" s="5"/>
      <c r="AT82" s="5"/>
      <c r="AU82" s="5"/>
      <c r="AV82" s="8">
        <f t="shared" si="38"/>
        <v>0</v>
      </c>
      <c r="AW82" s="8">
        <f t="shared" si="39"/>
        <v>50</v>
      </c>
      <c r="AX82" s="12">
        <f>AW82*(0.01*IF(D82="lab",SETTINGS!$F$23,SETTINGS!$F$30))</f>
        <v>0</v>
      </c>
      <c r="AY82" s="9">
        <f>ATT!AJ81</f>
        <v>100</v>
      </c>
      <c r="AZ82" s="12">
        <f>AY82*(0.01*IF(D82="lab",SETTINGS!$F$21,SETTINGS!$F$28))</f>
        <v>0</v>
      </c>
      <c r="BA82" s="9">
        <v>100</v>
      </c>
      <c r="BB82" s="12">
        <f>BA82*(0.01*IF(D82="lab",SETTINGS!$F$24,SETTINGS!$F$31))</f>
        <v>0</v>
      </c>
      <c r="BC82" s="71"/>
      <c r="BD82" s="8">
        <f t="shared" si="30"/>
        <v>50</v>
      </c>
      <c r="BE82" s="12">
        <f>BD82*(0.01*IF(D82="lab",SETTINGS!$F$25,"0"))</f>
        <v>0</v>
      </c>
      <c r="BF82" s="5"/>
      <c r="BG82" s="8">
        <f t="shared" si="40"/>
        <v>50</v>
      </c>
      <c r="BH82" s="12">
        <f>BG82*(0.01*IF(D82="lab",SETTINGS!$F$26,SETTINGS!$F$32))</f>
        <v>0</v>
      </c>
      <c r="BI82" s="13">
        <f t="shared" si="32"/>
        <v>0</v>
      </c>
      <c r="BJ82" s="60"/>
    </row>
  </sheetData>
  <autoFilter ref="B2:AG82" xr:uid="{00000000-0001-0000-0200-000000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hiddenButton="1" showButton="0"/>
    <filterColumn colId="26" hiddenButton="1" showButton="0"/>
    <filterColumn colId="27" hiddenButton="1" showButton="0"/>
    <filterColumn colId="28" showButton="0"/>
    <filterColumn colId="29" showButton="0"/>
    <filterColumn colId="30" showButton="0"/>
  </autoFilter>
  <mergeCells count="50">
    <mergeCell ref="BA4:BA6"/>
    <mergeCell ref="AY3:AZ3"/>
    <mergeCell ref="BC3:BE3"/>
    <mergeCell ref="BE4:BE6"/>
    <mergeCell ref="D3:D6"/>
    <mergeCell ref="B3:B6"/>
    <mergeCell ref="W3:X3"/>
    <mergeCell ref="W4:W6"/>
    <mergeCell ref="AE4:AE5"/>
    <mergeCell ref="AD3:AF3"/>
    <mergeCell ref="U3:V3"/>
    <mergeCell ref="E3:L3"/>
    <mergeCell ref="C3:C6"/>
    <mergeCell ref="U4:U5"/>
    <mergeCell ref="T4:T6"/>
    <mergeCell ref="V4:V6"/>
    <mergeCell ref="X4:X6"/>
    <mergeCell ref="AF4:AF6"/>
    <mergeCell ref="E2:AG2"/>
    <mergeCell ref="AI3:AP3"/>
    <mergeCell ref="AQ3:AX3"/>
    <mergeCell ref="AN4:AN5"/>
    <mergeCell ref="AO4:AO5"/>
    <mergeCell ref="AV4:AV5"/>
    <mergeCell ref="AW4:AW5"/>
    <mergeCell ref="AI2:BI2"/>
    <mergeCell ref="M3:T3"/>
    <mergeCell ref="J4:J5"/>
    <mergeCell ref="K4:K5"/>
    <mergeCell ref="R4:R5"/>
    <mergeCell ref="L4:L6"/>
    <mergeCell ref="S4:S5"/>
    <mergeCell ref="BG4:BG5"/>
    <mergeCell ref="BH4:BH6"/>
    <mergeCell ref="BI3:BI6"/>
    <mergeCell ref="BD4:BD5"/>
    <mergeCell ref="Y3:Z3"/>
    <mergeCell ref="Y4:Y6"/>
    <mergeCell ref="Z4:Z6"/>
    <mergeCell ref="BB4:BB6"/>
    <mergeCell ref="AA3:AC3"/>
    <mergeCell ref="AB4:AB5"/>
    <mergeCell ref="AC4:AC6"/>
    <mergeCell ref="AG3:AG6"/>
    <mergeCell ref="AP4:AP6"/>
    <mergeCell ref="AX4:AX6"/>
    <mergeCell ref="AZ4:AZ6"/>
    <mergeCell ref="BF3:BH3"/>
    <mergeCell ref="BA3:BB3"/>
    <mergeCell ref="AY4:AY5"/>
  </mergeCells>
  <conditionalFormatting sqref="U7:U82">
    <cfRule type="cellIs" dxfId="24" priority="10" operator="lessThan">
      <formula>41</formula>
    </cfRule>
    <cfRule type="cellIs" dxfId="23" priority="11" operator="lessThan">
      <formula>70</formula>
    </cfRule>
    <cfRule type="cellIs" dxfId="22" priority="12" operator="greaterThan">
      <formula>69</formula>
    </cfRule>
  </conditionalFormatting>
  <conditionalFormatting sqref="AG7:AG82">
    <cfRule type="cellIs" dxfId="21" priority="6" operator="equal">
      <formula>"DRP"</formula>
    </cfRule>
    <cfRule type="cellIs" dxfId="20" priority="15" operator="greaterThan">
      <formula>74.49</formula>
    </cfRule>
    <cfRule type="cellIs" dxfId="19" priority="16" operator="lessThan">
      <formula>74.5</formula>
    </cfRule>
    <cfRule type="cellIs" dxfId="18" priority="17" operator="lessThan">
      <formula>74.5</formula>
    </cfRule>
    <cfRule type="cellIs" dxfId="17" priority="18" operator="greaterThan">
      <formula>74.49</formula>
    </cfRule>
    <cfRule type="cellIs" dxfId="16" priority="19" operator="lessThan">
      <formula>74.49</formula>
    </cfRule>
  </conditionalFormatting>
  <conditionalFormatting sqref="AY7:AY82">
    <cfRule type="cellIs" dxfId="15" priority="1" operator="lessThan">
      <formula>41</formula>
    </cfRule>
    <cfRule type="cellIs" dxfId="14" priority="2" operator="lessThan">
      <formula>70</formula>
    </cfRule>
    <cfRule type="cellIs" dxfId="13" priority="3" operator="greaterThan">
      <formula>69</formula>
    </cfRule>
  </conditionalFormatting>
  <conditionalFormatting sqref="BI7:BI82">
    <cfRule type="cellIs" dxfId="12" priority="4" operator="equal">
      <formula>"FA"</formula>
    </cfRule>
    <cfRule type="cellIs" dxfId="11" priority="5" operator="equal">
      <formula>"DRP"</formula>
    </cfRule>
    <cfRule type="cellIs" dxfId="10" priority="13" operator="greaterThan">
      <formula>74.49</formula>
    </cfRule>
    <cfRule type="cellIs" dxfId="9" priority="14" operator="lessThan">
      <formula>74.5</formula>
    </cfRule>
  </conditionalFormatting>
  <dataValidations count="1">
    <dataValidation type="list" allowBlank="1" showInputMessage="1" showErrorMessage="1" sqref="D7:D82" xr:uid="{59E0A221-DD46-42CA-AFCF-F50090623DB8}">
      <formula1>"Lab, Non-Lab"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89"/>
  <sheetViews>
    <sheetView topLeftCell="A4" zoomScaleNormal="100" workbookViewId="0">
      <selection activeCell="F19" sqref="F19"/>
    </sheetView>
  </sheetViews>
  <sheetFormatPr defaultColWidth="9.109375" defaultRowHeight="14.4" x14ac:dyDescent="0.3"/>
  <cols>
    <col min="1" max="1" width="9.109375" style="17"/>
    <col min="2" max="2" width="7" style="18" customWidth="1"/>
    <col min="3" max="3" width="16.88671875" style="17" customWidth="1"/>
    <col min="4" max="4" width="33.5546875" style="17" bestFit="1" customWidth="1"/>
    <col min="5" max="5" width="5.21875" style="17" customWidth="1"/>
    <col min="6" max="7" width="9.109375" style="17"/>
    <col min="8" max="8" width="1.44140625" style="17" customWidth="1"/>
    <col min="9" max="9" width="9.88671875" style="17" bestFit="1" customWidth="1"/>
    <col min="10" max="10" width="1.44140625" style="17" customWidth="1"/>
    <col min="11" max="12" width="9.109375" style="17"/>
    <col min="13" max="13" width="1.44140625" style="17" customWidth="1"/>
    <col min="14" max="14" width="9.88671875" style="17" bestFit="1" customWidth="1"/>
    <col min="15" max="15" width="1.44140625" style="17" customWidth="1"/>
    <col min="16" max="17" width="9.109375" style="17"/>
    <col min="18" max="18" width="1.44140625" style="17" customWidth="1"/>
    <col min="19" max="20" width="9.109375" style="17"/>
    <col min="21" max="21" width="2.21875" style="17" customWidth="1"/>
    <col min="22" max="22" width="9.88671875" style="17" bestFit="1" customWidth="1"/>
    <col min="23" max="16384" width="9.109375" style="17"/>
  </cols>
  <sheetData>
    <row r="2" spans="2:22" x14ac:dyDescent="0.3"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</row>
    <row r="3" spans="2:22" x14ac:dyDescent="0.3">
      <c r="B3" s="134" t="s">
        <v>21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</row>
    <row r="4" spans="2:22" x14ac:dyDescent="0.3">
      <c r="B4" s="135" t="s">
        <v>79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</row>
    <row r="5" spans="2:22" x14ac:dyDescent="0.3">
      <c r="B5" s="136" t="s">
        <v>22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</row>
    <row r="6" spans="2:22" ht="7.5" customHeight="1" x14ac:dyDescent="0.3">
      <c r="B6" s="19"/>
      <c r="C6" s="19"/>
      <c r="D6" s="19"/>
      <c r="E6" s="19"/>
      <c r="F6" s="19"/>
      <c r="G6" s="19"/>
      <c r="H6" s="19"/>
      <c r="J6" s="19"/>
      <c r="K6" s="19"/>
      <c r="L6" s="19"/>
      <c r="M6" s="19"/>
      <c r="O6" s="19"/>
      <c r="P6" s="19"/>
      <c r="Q6" s="19"/>
      <c r="R6" s="19"/>
      <c r="S6" s="19"/>
      <c r="T6" s="19"/>
    </row>
    <row r="7" spans="2:22" x14ac:dyDescent="0.3">
      <c r="B7" s="135" t="str">
        <f>SETTINGS!F10 &amp; " " &amp;SETTINGS!F11</f>
        <v>Second Semester A.Y. 2023-2024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</row>
    <row r="8" spans="2:22" ht="7.5" customHeight="1" x14ac:dyDescent="0.3">
      <c r="B8" s="19"/>
      <c r="C8" s="19"/>
      <c r="D8" s="19"/>
      <c r="E8" s="19"/>
      <c r="F8" s="19"/>
      <c r="G8" s="19"/>
      <c r="H8" s="19"/>
      <c r="J8" s="19"/>
      <c r="K8" s="19"/>
      <c r="L8" s="19"/>
      <c r="M8" s="19"/>
      <c r="O8" s="19"/>
      <c r="P8" s="19"/>
      <c r="Q8" s="19"/>
      <c r="R8" s="19"/>
      <c r="S8" s="19"/>
      <c r="T8" s="19"/>
    </row>
    <row r="9" spans="2:22" x14ac:dyDescent="0.3">
      <c r="B9" s="137" t="str">
        <f>SETTINGS!F13 &amp; " - " &amp;SETTINGS!F14</f>
        <v xml:space="preserve"> - 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</row>
    <row r="11" spans="2:22" x14ac:dyDescent="0.3">
      <c r="C11" s="20" t="s">
        <v>24</v>
      </c>
      <c r="D11" s="21">
        <f>SETTINGS!F16</f>
        <v>0</v>
      </c>
    </row>
    <row r="12" spans="2:22" x14ac:dyDescent="0.3">
      <c r="B12" s="138" t="s">
        <v>15</v>
      </c>
      <c r="C12" s="138" t="s">
        <v>0</v>
      </c>
      <c r="D12" s="138" t="s">
        <v>1</v>
      </c>
      <c r="F12" s="139" t="s">
        <v>16</v>
      </c>
      <c r="G12" s="139"/>
      <c r="H12" s="22"/>
      <c r="I12" s="68" t="s">
        <v>68</v>
      </c>
      <c r="J12" s="22"/>
      <c r="K12" s="139" t="s">
        <v>17</v>
      </c>
      <c r="L12" s="139"/>
      <c r="M12" s="22"/>
      <c r="N12" s="68" t="s">
        <v>68</v>
      </c>
      <c r="O12" s="22"/>
      <c r="P12" s="139" t="s">
        <v>25</v>
      </c>
      <c r="Q12" s="139"/>
      <c r="S12" s="140" t="s">
        <v>26</v>
      </c>
      <c r="T12" s="140"/>
      <c r="V12" s="68" t="s">
        <v>68</v>
      </c>
    </row>
    <row r="13" spans="2:22" ht="27.75" customHeight="1" x14ac:dyDescent="0.3">
      <c r="B13" s="138"/>
      <c r="C13" s="138"/>
      <c r="D13" s="138"/>
      <c r="F13" s="23" t="s">
        <v>27</v>
      </c>
      <c r="G13" s="24">
        <v>0.5</v>
      </c>
      <c r="H13" s="25"/>
      <c r="I13" s="70" t="s">
        <v>69</v>
      </c>
      <c r="J13" s="25"/>
      <c r="K13" s="23" t="s">
        <v>28</v>
      </c>
      <c r="L13" s="24">
        <v>0.5</v>
      </c>
      <c r="N13" s="70" t="s">
        <v>70</v>
      </c>
      <c r="P13" s="26" t="s">
        <v>25</v>
      </c>
      <c r="Q13" s="27" t="s">
        <v>29</v>
      </c>
      <c r="S13" s="26" t="s">
        <v>26</v>
      </c>
      <c r="T13" s="27" t="s">
        <v>30</v>
      </c>
      <c r="V13" s="69" t="s">
        <v>71</v>
      </c>
    </row>
    <row r="14" spans="2:22" x14ac:dyDescent="0.3">
      <c r="B14" s="28">
        <v>1</v>
      </c>
      <c r="C14" s="29">
        <f>SETTINGS!B10</f>
        <v>0</v>
      </c>
      <c r="D14" s="33">
        <f>SETTINGS!C10</f>
        <v>0</v>
      </c>
      <c r="F14" s="31">
        <f>IF('MID-FINAL'!AG7  = "DRP","DRP",'MID-FINAL'!AG7 + I14)</f>
        <v>0</v>
      </c>
      <c r="G14" s="31">
        <f>IF(F14="DRP","DRP",IF(F14="FA", "FA",F14*0.5))</f>
        <v>0</v>
      </c>
      <c r="H14" s="32"/>
      <c r="I14" s="29">
        <v>0</v>
      </c>
      <c r="J14" s="32"/>
      <c r="K14" s="31">
        <f>IF('MID-FINAL'!BI7="DRP","DRP",IF('MID-FINAL'!BI7="FA","FA",'MID-FINAL'!BI7+N14))</f>
        <v>0</v>
      </c>
      <c r="L14" s="31">
        <f>IF(K14="DRP","DRP",IF(K14="FA", "FA",K14*0.5))</f>
        <v>0</v>
      </c>
      <c r="M14" s="32"/>
      <c r="N14" s="29">
        <v>0</v>
      </c>
      <c r="O14" s="32"/>
      <c r="P14" s="31">
        <f>IF(F14="DRP","DRP",IF(K14="DRP","DRP",IF(F14="FA","FA",IF(K14="FA","FA",ROUND(L14+G14+V14,0)))))</f>
        <v>0</v>
      </c>
      <c r="Q14" s="31" t="e">
        <f xml:space="preserve"> IF(P14="DRP","DRP",VLOOKUP(P14,'GRADE EQUIVALENTS'!$C$8:$D$109,2,TRUE))</f>
        <v>#N/A</v>
      </c>
      <c r="S14" s="67" t="e">
        <f>IF(Q14=5,"FAILED",IF(Q14="DRP","DROPPED","PASSED"))</f>
        <v>#N/A</v>
      </c>
      <c r="T14" s="29">
        <f>RANK(P14,$P$14:$P$89)</f>
        <v>1</v>
      </c>
      <c r="V14" s="29">
        <v>0</v>
      </c>
    </row>
    <row r="15" spans="2:22" x14ac:dyDescent="0.3">
      <c r="B15" s="28">
        <v>2</v>
      </c>
      <c r="C15" s="29">
        <f>SETTINGS!B11</f>
        <v>0</v>
      </c>
      <c r="D15" s="33">
        <f>SETTINGS!C11</f>
        <v>0</v>
      </c>
      <c r="F15" s="31">
        <f>IF('MID-FINAL'!AG8  = "DRP","DRP",'MID-FINAL'!AG8 + I15)</f>
        <v>0</v>
      </c>
      <c r="G15" s="31">
        <f t="shared" ref="G15:G73" si="0">IF(F15="DRP","DRP",IF(F15="FA", "FA",F15*0.5))</f>
        <v>0</v>
      </c>
      <c r="H15" s="32"/>
      <c r="I15" s="29">
        <v>0</v>
      </c>
      <c r="J15" s="32"/>
      <c r="K15" s="31">
        <f>IF('MID-FINAL'!BI8="DRP","DRP",IF('MID-FINAL'!BI8="FA","FA",'MID-FINAL'!BI8+N15))</f>
        <v>0</v>
      </c>
      <c r="L15" s="31">
        <f t="shared" ref="L15:L73" si="1">IF(K15="DRP","DRP",IF(K15="FA", "FA",K15*0.5))</f>
        <v>0</v>
      </c>
      <c r="M15" s="32"/>
      <c r="N15" s="29">
        <v>0</v>
      </c>
      <c r="O15" s="32"/>
      <c r="P15" s="31">
        <f t="shared" ref="P15:P73" si="2">IF(F15="DRP","DRP",IF(K15="DRP","DRP",IF(F15="FA","FA",IF(K15="FA","FA",ROUND(L15+G15+V15,0)))))</f>
        <v>0</v>
      </c>
      <c r="Q15" s="31" t="e">
        <f xml:space="preserve"> IF(P15="DRP","DRP",VLOOKUP(P15,'GRADE EQUIVALENTS'!$C$8:$D$109,2,TRUE))</f>
        <v>#N/A</v>
      </c>
      <c r="S15" s="67" t="e">
        <f t="shared" ref="S15:S73" si="3">IF(Q15=5,"FAILED",IF(Q15="DRP","DROPPED","PASSED"))</f>
        <v>#N/A</v>
      </c>
      <c r="T15" s="29">
        <f t="shared" ref="T15:T78" si="4">RANK(P15,$P$14:$P$89)</f>
        <v>1</v>
      </c>
      <c r="V15" s="29">
        <v>0</v>
      </c>
    </row>
    <row r="16" spans="2:22" x14ac:dyDescent="0.3">
      <c r="B16" s="28">
        <v>3</v>
      </c>
      <c r="C16" s="29">
        <f>SETTINGS!B12</f>
        <v>0</v>
      </c>
      <c r="D16" s="33">
        <f>SETTINGS!C12</f>
        <v>0</v>
      </c>
      <c r="F16" s="31">
        <f>IF('MID-FINAL'!AG9  = "DRP","DRP",'MID-FINAL'!AG9 + I16)</f>
        <v>0</v>
      </c>
      <c r="G16" s="31">
        <f t="shared" si="0"/>
        <v>0</v>
      </c>
      <c r="H16" s="32"/>
      <c r="I16" s="29">
        <v>0</v>
      </c>
      <c r="J16" s="32"/>
      <c r="K16" s="31">
        <f>IF('MID-FINAL'!BI9="DRP","DRP",IF('MID-FINAL'!BI9="FA","FA",'MID-FINAL'!BI9+N16))</f>
        <v>0</v>
      </c>
      <c r="L16" s="31">
        <f t="shared" si="1"/>
        <v>0</v>
      </c>
      <c r="M16" s="32"/>
      <c r="N16" s="29">
        <v>0</v>
      </c>
      <c r="O16" s="32"/>
      <c r="P16" s="31">
        <f t="shared" si="2"/>
        <v>0</v>
      </c>
      <c r="Q16" s="31" t="e">
        <f xml:space="preserve"> IF(P16="DRP","DRP",VLOOKUP(P16,'GRADE EQUIVALENTS'!$C$8:$D$109,2,TRUE))</f>
        <v>#N/A</v>
      </c>
      <c r="S16" s="67" t="e">
        <f t="shared" si="3"/>
        <v>#N/A</v>
      </c>
      <c r="T16" s="29">
        <f t="shared" si="4"/>
        <v>1</v>
      </c>
      <c r="V16" s="29">
        <v>0</v>
      </c>
    </row>
    <row r="17" spans="2:22" x14ac:dyDescent="0.3">
      <c r="B17" s="28">
        <v>4</v>
      </c>
      <c r="C17" s="29">
        <f>SETTINGS!B13</f>
        <v>0</v>
      </c>
      <c r="D17" s="33">
        <f>SETTINGS!C13</f>
        <v>0</v>
      </c>
      <c r="F17" s="31">
        <f>IF('MID-FINAL'!AG10  = "DRP","DRP",'MID-FINAL'!AG10 + I17)</f>
        <v>0</v>
      </c>
      <c r="G17" s="31">
        <f t="shared" si="0"/>
        <v>0</v>
      </c>
      <c r="H17" s="32"/>
      <c r="I17" s="29">
        <v>0</v>
      </c>
      <c r="J17" s="32"/>
      <c r="K17" s="31">
        <f>IF('MID-FINAL'!BI10="DRP","DRP",IF('MID-FINAL'!BI10="FA","FA",'MID-FINAL'!BI10+N17))</f>
        <v>0</v>
      </c>
      <c r="L17" s="31">
        <f t="shared" si="1"/>
        <v>0</v>
      </c>
      <c r="M17" s="32"/>
      <c r="N17" s="29">
        <v>0</v>
      </c>
      <c r="O17" s="32"/>
      <c r="P17" s="31">
        <f t="shared" si="2"/>
        <v>0</v>
      </c>
      <c r="Q17" s="31" t="e">
        <f xml:space="preserve"> IF(P17="DRP","DRP",VLOOKUP(P17,'GRADE EQUIVALENTS'!$C$8:$D$109,2,TRUE))</f>
        <v>#N/A</v>
      </c>
      <c r="S17" s="67" t="e">
        <f t="shared" si="3"/>
        <v>#N/A</v>
      </c>
      <c r="T17" s="29">
        <f t="shared" si="4"/>
        <v>1</v>
      </c>
      <c r="V17" s="29">
        <v>0</v>
      </c>
    </row>
    <row r="18" spans="2:22" x14ac:dyDescent="0.3">
      <c r="B18" s="28">
        <v>5</v>
      </c>
      <c r="C18" s="29">
        <f>SETTINGS!B14</f>
        <v>0</v>
      </c>
      <c r="D18" s="33">
        <f>SETTINGS!C14</f>
        <v>0</v>
      </c>
      <c r="F18" s="31">
        <f>IF('MID-FINAL'!AG11  = "DRP","DRP",'MID-FINAL'!AG11 + I18)</f>
        <v>0</v>
      </c>
      <c r="G18" s="31">
        <f t="shared" si="0"/>
        <v>0</v>
      </c>
      <c r="H18" s="32"/>
      <c r="I18" s="29">
        <v>0</v>
      </c>
      <c r="J18" s="32"/>
      <c r="K18" s="31">
        <f>IF('MID-FINAL'!BI11="DRP","DRP",IF('MID-FINAL'!BI11="FA","FA",'MID-FINAL'!BI11+N18))</f>
        <v>0</v>
      </c>
      <c r="L18" s="31">
        <f t="shared" si="1"/>
        <v>0</v>
      </c>
      <c r="M18" s="32"/>
      <c r="N18" s="29">
        <v>0</v>
      </c>
      <c r="O18" s="32"/>
      <c r="P18" s="31">
        <f t="shared" si="2"/>
        <v>0</v>
      </c>
      <c r="Q18" s="31" t="e">
        <f xml:space="preserve"> IF(P18="DRP","DRP",VLOOKUP(P18,'GRADE EQUIVALENTS'!$C$8:$D$109,2,TRUE))</f>
        <v>#N/A</v>
      </c>
      <c r="S18" s="67" t="e">
        <f t="shared" si="3"/>
        <v>#N/A</v>
      </c>
      <c r="T18" s="29">
        <f t="shared" si="4"/>
        <v>1</v>
      </c>
      <c r="V18" s="29">
        <v>0</v>
      </c>
    </row>
    <row r="19" spans="2:22" x14ac:dyDescent="0.3">
      <c r="B19" s="28">
        <v>6</v>
      </c>
      <c r="C19" s="29">
        <f>SETTINGS!B15</f>
        <v>0</v>
      </c>
      <c r="D19" s="33">
        <f>SETTINGS!C15</f>
        <v>0</v>
      </c>
      <c r="F19" s="31">
        <f>IF('MID-FINAL'!AG12  = "DRP","DRP",'MID-FINAL'!AG12 + I19)</f>
        <v>0</v>
      </c>
      <c r="G19" s="31">
        <f t="shared" si="0"/>
        <v>0</v>
      </c>
      <c r="H19" s="32"/>
      <c r="I19" s="29">
        <v>0</v>
      </c>
      <c r="J19" s="32"/>
      <c r="K19" s="31">
        <f>IF('MID-FINAL'!BI12="DRP","DRP",IF('MID-FINAL'!BI12="FA","FA",'MID-FINAL'!BI12+N19))</f>
        <v>0</v>
      </c>
      <c r="L19" s="31">
        <f t="shared" si="1"/>
        <v>0</v>
      </c>
      <c r="M19" s="32"/>
      <c r="N19" s="29">
        <v>0</v>
      </c>
      <c r="O19" s="32"/>
      <c r="P19" s="31">
        <f t="shared" si="2"/>
        <v>0</v>
      </c>
      <c r="Q19" s="31" t="e">
        <f xml:space="preserve"> IF(P19="DRP","DRP",VLOOKUP(P19,'GRADE EQUIVALENTS'!$C$8:$D$109,2,TRUE))</f>
        <v>#N/A</v>
      </c>
      <c r="S19" s="67" t="e">
        <f t="shared" si="3"/>
        <v>#N/A</v>
      </c>
      <c r="T19" s="29">
        <f t="shared" si="4"/>
        <v>1</v>
      </c>
      <c r="V19" s="29">
        <v>0</v>
      </c>
    </row>
    <row r="20" spans="2:22" x14ac:dyDescent="0.3">
      <c r="B20" s="28">
        <v>7</v>
      </c>
      <c r="C20" s="29">
        <f>SETTINGS!B16</f>
        <v>0</v>
      </c>
      <c r="D20" s="33">
        <f>SETTINGS!C16</f>
        <v>0</v>
      </c>
      <c r="F20" s="31">
        <f>IF('MID-FINAL'!AG13  = "DRP","DRP",'MID-FINAL'!AG13 + I20)</f>
        <v>0</v>
      </c>
      <c r="G20" s="31">
        <f t="shared" si="0"/>
        <v>0</v>
      </c>
      <c r="H20" s="32"/>
      <c r="I20" s="29">
        <v>0</v>
      </c>
      <c r="J20" s="32"/>
      <c r="K20" s="31">
        <f>IF('MID-FINAL'!BI13="DRP","DRP",IF('MID-FINAL'!BI13="FA","FA",'MID-FINAL'!BI13+N20))</f>
        <v>0</v>
      </c>
      <c r="L20" s="31">
        <f t="shared" si="1"/>
        <v>0</v>
      </c>
      <c r="M20" s="32"/>
      <c r="N20" s="29">
        <v>0</v>
      </c>
      <c r="O20" s="32"/>
      <c r="P20" s="31">
        <f t="shared" si="2"/>
        <v>0</v>
      </c>
      <c r="Q20" s="31" t="e">
        <f xml:space="preserve"> IF(P20="DRP","DRP",VLOOKUP(P20,'GRADE EQUIVALENTS'!$C$8:$D$109,2,TRUE))</f>
        <v>#N/A</v>
      </c>
      <c r="S20" s="67" t="e">
        <f t="shared" si="3"/>
        <v>#N/A</v>
      </c>
      <c r="T20" s="29">
        <f t="shared" si="4"/>
        <v>1</v>
      </c>
      <c r="V20" s="29">
        <v>0</v>
      </c>
    </row>
    <row r="21" spans="2:22" x14ac:dyDescent="0.3">
      <c r="B21" s="28">
        <v>8</v>
      </c>
      <c r="C21" s="29">
        <f>SETTINGS!B17</f>
        <v>0</v>
      </c>
      <c r="D21" s="33">
        <f>SETTINGS!C17</f>
        <v>0</v>
      </c>
      <c r="F21" s="31">
        <f>IF('MID-FINAL'!AG14  = "DRP","DRP",'MID-FINAL'!AG14 + I21)</f>
        <v>0</v>
      </c>
      <c r="G21" s="31">
        <f t="shared" si="0"/>
        <v>0</v>
      </c>
      <c r="H21" s="32"/>
      <c r="I21" s="29">
        <v>0</v>
      </c>
      <c r="J21" s="32"/>
      <c r="K21" s="31">
        <f>IF('MID-FINAL'!BI14="DRP","DRP",IF('MID-FINAL'!BI14="FA","FA",'MID-FINAL'!BI14+N21))</f>
        <v>0</v>
      </c>
      <c r="L21" s="31">
        <f t="shared" si="1"/>
        <v>0</v>
      </c>
      <c r="M21" s="32"/>
      <c r="N21" s="29">
        <v>0</v>
      </c>
      <c r="O21" s="32"/>
      <c r="P21" s="31">
        <f t="shared" si="2"/>
        <v>0</v>
      </c>
      <c r="Q21" s="31" t="e">
        <f xml:space="preserve"> IF(P21="DRP","DRP",VLOOKUP(P21,'GRADE EQUIVALENTS'!$C$8:$D$109,2,TRUE))</f>
        <v>#N/A</v>
      </c>
      <c r="S21" s="67" t="e">
        <f t="shared" si="3"/>
        <v>#N/A</v>
      </c>
      <c r="T21" s="29">
        <f t="shared" si="4"/>
        <v>1</v>
      </c>
      <c r="V21" s="29">
        <v>0</v>
      </c>
    </row>
    <row r="22" spans="2:22" x14ac:dyDescent="0.3">
      <c r="B22" s="28">
        <v>9</v>
      </c>
      <c r="C22" s="29">
        <f>SETTINGS!B18</f>
        <v>0</v>
      </c>
      <c r="D22" s="33">
        <f>SETTINGS!C18</f>
        <v>0</v>
      </c>
      <c r="F22" s="31">
        <f>IF('MID-FINAL'!AG15  = "DRP","DRP",'MID-FINAL'!AG15 + I22)</f>
        <v>0</v>
      </c>
      <c r="G22" s="31">
        <f t="shared" si="0"/>
        <v>0</v>
      </c>
      <c r="H22" s="32"/>
      <c r="I22" s="29">
        <v>0</v>
      </c>
      <c r="J22" s="32"/>
      <c r="K22" s="31">
        <f>IF('MID-FINAL'!BI15="DRP","DRP",IF('MID-FINAL'!BI15="FA","FA",'MID-FINAL'!BI15+N22))</f>
        <v>0</v>
      </c>
      <c r="L22" s="31">
        <f t="shared" si="1"/>
        <v>0</v>
      </c>
      <c r="M22" s="32"/>
      <c r="N22" s="29">
        <v>0</v>
      </c>
      <c r="O22" s="32"/>
      <c r="P22" s="31">
        <f t="shared" si="2"/>
        <v>0</v>
      </c>
      <c r="Q22" s="31" t="e">
        <f xml:space="preserve"> IF(P22="DRP","DRP",VLOOKUP(P22,'GRADE EQUIVALENTS'!$C$8:$D$109,2,TRUE))</f>
        <v>#N/A</v>
      </c>
      <c r="S22" s="67" t="e">
        <f t="shared" si="3"/>
        <v>#N/A</v>
      </c>
      <c r="T22" s="29">
        <f t="shared" si="4"/>
        <v>1</v>
      </c>
      <c r="V22" s="29">
        <v>0</v>
      </c>
    </row>
    <row r="23" spans="2:22" x14ac:dyDescent="0.3">
      <c r="B23" s="28">
        <v>10</v>
      </c>
      <c r="C23" s="29">
        <f>SETTINGS!B19</f>
        <v>0</v>
      </c>
      <c r="D23" s="33">
        <f>SETTINGS!C19</f>
        <v>0</v>
      </c>
      <c r="F23" s="31">
        <f>IF('MID-FINAL'!AG16  = "DRP","DRP",'MID-FINAL'!AG16 + I23)</f>
        <v>0</v>
      </c>
      <c r="G23" s="31">
        <f t="shared" si="0"/>
        <v>0</v>
      </c>
      <c r="H23" s="32"/>
      <c r="I23" s="29">
        <v>0</v>
      </c>
      <c r="J23" s="32"/>
      <c r="K23" s="31">
        <f>IF('MID-FINAL'!BI16="DRP","DRP",IF('MID-FINAL'!BI16="FA","FA",'MID-FINAL'!BI16+N23))</f>
        <v>0</v>
      </c>
      <c r="L23" s="31">
        <f t="shared" si="1"/>
        <v>0</v>
      </c>
      <c r="M23" s="32"/>
      <c r="N23" s="29">
        <v>0</v>
      </c>
      <c r="O23" s="32"/>
      <c r="P23" s="31">
        <f t="shared" si="2"/>
        <v>0</v>
      </c>
      <c r="Q23" s="31" t="e">
        <f xml:space="preserve"> IF(P23="DRP","DRP",VLOOKUP(P23,'GRADE EQUIVALENTS'!$C$8:$D$109,2,TRUE))</f>
        <v>#N/A</v>
      </c>
      <c r="S23" s="67" t="e">
        <f t="shared" si="3"/>
        <v>#N/A</v>
      </c>
      <c r="T23" s="29">
        <f t="shared" si="4"/>
        <v>1</v>
      </c>
      <c r="V23" s="29">
        <v>0</v>
      </c>
    </row>
    <row r="24" spans="2:22" x14ac:dyDescent="0.3">
      <c r="B24" s="28">
        <v>11</v>
      </c>
      <c r="C24" s="29">
        <f>SETTINGS!B20</f>
        <v>0</v>
      </c>
      <c r="D24" s="33">
        <f>SETTINGS!C20</f>
        <v>0</v>
      </c>
      <c r="F24" s="31">
        <f>IF('MID-FINAL'!AG17  = "DRP","DRP",'MID-FINAL'!AG17 + I24)</f>
        <v>0</v>
      </c>
      <c r="G24" s="31">
        <f t="shared" si="0"/>
        <v>0</v>
      </c>
      <c r="H24" s="32"/>
      <c r="I24" s="29">
        <v>0</v>
      </c>
      <c r="J24" s="32"/>
      <c r="K24" s="31">
        <f>IF('MID-FINAL'!BI17="DRP","DRP",IF('MID-FINAL'!BI17="FA","FA",'MID-FINAL'!BI17+N24))</f>
        <v>0</v>
      </c>
      <c r="L24" s="31">
        <f t="shared" si="1"/>
        <v>0</v>
      </c>
      <c r="M24" s="32"/>
      <c r="N24" s="29">
        <v>0</v>
      </c>
      <c r="O24" s="32"/>
      <c r="P24" s="31">
        <f t="shared" si="2"/>
        <v>0</v>
      </c>
      <c r="Q24" s="31" t="e">
        <f xml:space="preserve"> IF(P24="DRP","DRP",VLOOKUP(P24,'GRADE EQUIVALENTS'!$C$8:$D$109,2,TRUE))</f>
        <v>#N/A</v>
      </c>
      <c r="S24" s="67" t="e">
        <f t="shared" si="3"/>
        <v>#N/A</v>
      </c>
      <c r="T24" s="29">
        <f t="shared" si="4"/>
        <v>1</v>
      </c>
      <c r="V24" s="29">
        <v>0</v>
      </c>
    </row>
    <row r="25" spans="2:22" x14ac:dyDescent="0.3">
      <c r="B25" s="28">
        <v>12</v>
      </c>
      <c r="C25" s="29">
        <f>SETTINGS!B21</f>
        <v>0</v>
      </c>
      <c r="D25" s="33">
        <f>SETTINGS!C21</f>
        <v>0</v>
      </c>
      <c r="F25" s="31">
        <f>IF('MID-FINAL'!AG18  = "DRP","DRP",'MID-FINAL'!AG18 + I25)</f>
        <v>0</v>
      </c>
      <c r="G25" s="31">
        <f t="shared" si="0"/>
        <v>0</v>
      </c>
      <c r="H25" s="32"/>
      <c r="I25" s="29">
        <v>0</v>
      </c>
      <c r="J25" s="32"/>
      <c r="K25" s="31">
        <f>IF('MID-FINAL'!BI18="DRP","DRP",IF('MID-FINAL'!BI18="FA","FA",'MID-FINAL'!BI18+N25))</f>
        <v>0</v>
      </c>
      <c r="L25" s="31">
        <f t="shared" si="1"/>
        <v>0</v>
      </c>
      <c r="M25" s="32"/>
      <c r="N25" s="29">
        <v>0</v>
      </c>
      <c r="O25" s="32"/>
      <c r="P25" s="31">
        <f t="shared" si="2"/>
        <v>0</v>
      </c>
      <c r="Q25" s="31" t="e">
        <f xml:space="preserve"> IF(P25="DRP","DRP",VLOOKUP(P25,'GRADE EQUIVALENTS'!$C$8:$D$109,2,TRUE))</f>
        <v>#N/A</v>
      </c>
      <c r="S25" s="67" t="e">
        <f t="shared" si="3"/>
        <v>#N/A</v>
      </c>
      <c r="T25" s="29">
        <f t="shared" si="4"/>
        <v>1</v>
      </c>
      <c r="V25" s="29">
        <v>0</v>
      </c>
    </row>
    <row r="26" spans="2:22" x14ac:dyDescent="0.3">
      <c r="B26" s="28">
        <v>13</v>
      </c>
      <c r="C26" s="29">
        <f>SETTINGS!B22</f>
        <v>0</v>
      </c>
      <c r="D26" s="33">
        <f>SETTINGS!C22</f>
        <v>0</v>
      </c>
      <c r="F26" s="31">
        <f>IF('MID-FINAL'!AG19  = "DRP","DRP",'MID-FINAL'!AG19 + I26)</f>
        <v>0</v>
      </c>
      <c r="G26" s="31">
        <f t="shared" si="0"/>
        <v>0</v>
      </c>
      <c r="H26" s="32"/>
      <c r="I26" s="29">
        <v>0</v>
      </c>
      <c r="J26" s="32"/>
      <c r="K26" s="31">
        <f>IF('MID-FINAL'!BI19="DRP","DRP",IF('MID-FINAL'!BI19="FA","FA",'MID-FINAL'!BI19+N26))</f>
        <v>0</v>
      </c>
      <c r="L26" s="31">
        <f t="shared" si="1"/>
        <v>0</v>
      </c>
      <c r="M26" s="32"/>
      <c r="N26" s="29">
        <v>0</v>
      </c>
      <c r="O26" s="32"/>
      <c r="P26" s="31">
        <f t="shared" si="2"/>
        <v>0</v>
      </c>
      <c r="Q26" s="31" t="e">
        <f xml:space="preserve"> IF(P26="DRP","DRP",VLOOKUP(P26,'GRADE EQUIVALENTS'!$C$8:$D$109,2,TRUE))</f>
        <v>#N/A</v>
      </c>
      <c r="S26" s="67" t="e">
        <f t="shared" si="3"/>
        <v>#N/A</v>
      </c>
      <c r="T26" s="29">
        <f t="shared" si="4"/>
        <v>1</v>
      </c>
      <c r="V26" s="29">
        <v>0</v>
      </c>
    </row>
    <row r="27" spans="2:22" x14ac:dyDescent="0.3">
      <c r="B27" s="28">
        <v>14</v>
      </c>
      <c r="C27" s="29">
        <f>SETTINGS!B23</f>
        <v>0</v>
      </c>
      <c r="D27" s="33">
        <f>SETTINGS!C23</f>
        <v>0</v>
      </c>
      <c r="F27" s="31">
        <f>IF('MID-FINAL'!AG20  = "DRP","DRP",'MID-FINAL'!AG20 + I27)</f>
        <v>0</v>
      </c>
      <c r="G27" s="31">
        <f t="shared" si="0"/>
        <v>0</v>
      </c>
      <c r="H27" s="32"/>
      <c r="I27" s="29">
        <v>0</v>
      </c>
      <c r="J27" s="32"/>
      <c r="K27" s="31">
        <f>IF('MID-FINAL'!BI20="DRP","DRP",IF('MID-FINAL'!BI20="FA","FA",'MID-FINAL'!BI20+N27))</f>
        <v>0</v>
      </c>
      <c r="L27" s="31">
        <f t="shared" si="1"/>
        <v>0</v>
      </c>
      <c r="M27" s="32"/>
      <c r="N27" s="29">
        <v>0</v>
      </c>
      <c r="O27" s="32"/>
      <c r="P27" s="31">
        <f t="shared" si="2"/>
        <v>0</v>
      </c>
      <c r="Q27" s="31" t="e">
        <f xml:space="preserve"> IF(P27="DRP","DRP",VLOOKUP(P27,'GRADE EQUIVALENTS'!$C$8:$D$109,2,TRUE))</f>
        <v>#N/A</v>
      </c>
      <c r="S27" s="67" t="e">
        <f t="shared" si="3"/>
        <v>#N/A</v>
      </c>
      <c r="T27" s="29">
        <f t="shared" si="4"/>
        <v>1</v>
      </c>
      <c r="V27" s="29">
        <v>0</v>
      </c>
    </row>
    <row r="28" spans="2:22" x14ac:dyDescent="0.3">
      <c r="B28" s="28">
        <v>15</v>
      </c>
      <c r="C28" s="29">
        <f>SETTINGS!B24</f>
        <v>0</v>
      </c>
      <c r="D28" s="33">
        <f>SETTINGS!C24</f>
        <v>0</v>
      </c>
      <c r="F28" s="31">
        <f>IF('MID-FINAL'!AG21  = "DRP","DRP",'MID-FINAL'!AG21 + I28)</f>
        <v>0</v>
      </c>
      <c r="G28" s="31">
        <f t="shared" si="0"/>
        <v>0</v>
      </c>
      <c r="H28" s="32"/>
      <c r="I28" s="29">
        <v>0</v>
      </c>
      <c r="J28" s="32"/>
      <c r="K28" s="31">
        <f>IF('MID-FINAL'!BI21="DRP","DRP",IF('MID-FINAL'!BI21="FA","FA",'MID-FINAL'!BI21+N28))</f>
        <v>0</v>
      </c>
      <c r="L28" s="31">
        <f t="shared" si="1"/>
        <v>0</v>
      </c>
      <c r="M28" s="32"/>
      <c r="N28" s="29">
        <v>0</v>
      </c>
      <c r="O28" s="32"/>
      <c r="P28" s="31">
        <f t="shared" si="2"/>
        <v>0</v>
      </c>
      <c r="Q28" s="31" t="e">
        <f xml:space="preserve"> IF(P28="DRP","DRP",VLOOKUP(P28,'GRADE EQUIVALENTS'!$C$8:$D$109,2,TRUE))</f>
        <v>#N/A</v>
      </c>
      <c r="S28" s="67" t="e">
        <f t="shared" si="3"/>
        <v>#N/A</v>
      </c>
      <c r="T28" s="29">
        <f t="shared" si="4"/>
        <v>1</v>
      </c>
      <c r="V28" s="29">
        <v>0</v>
      </c>
    </row>
    <row r="29" spans="2:22" x14ac:dyDescent="0.3">
      <c r="B29" s="28">
        <v>16</v>
      </c>
      <c r="C29" s="29">
        <f>SETTINGS!B25</f>
        <v>0</v>
      </c>
      <c r="D29" s="33">
        <f>SETTINGS!C25</f>
        <v>0</v>
      </c>
      <c r="F29" s="31">
        <f>IF('MID-FINAL'!AG22  = "DRP","DRP",'MID-FINAL'!AG22 + I29)</f>
        <v>0</v>
      </c>
      <c r="G29" s="31">
        <f t="shared" si="0"/>
        <v>0</v>
      </c>
      <c r="H29" s="32"/>
      <c r="I29" s="29">
        <v>0</v>
      </c>
      <c r="J29" s="32"/>
      <c r="K29" s="31">
        <f>IF('MID-FINAL'!BI22="DRP","DRP",IF('MID-FINAL'!BI22="FA","FA",'MID-FINAL'!BI22+N29))</f>
        <v>0</v>
      </c>
      <c r="L29" s="31">
        <f t="shared" si="1"/>
        <v>0</v>
      </c>
      <c r="M29" s="32"/>
      <c r="N29" s="29">
        <v>0</v>
      </c>
      <c r="O29" s="32"/>
      <c r="P29" s="31">
        <f t="shared" si="2"/>
        <v>0</v>
      </c>
      <c r="Q29" s="31" t="e">
        <f xml:space="preserve"> IF(P29="DRP","DRP",VLOOKUP(P29,'GRADE EQUIVALENTS'!$C$8:$D$109,2,TRUE))</f>
        <v>#N/A</v>
      </c>
      <c r="S29" s="67" t="e">
        <f t="shared" si="3"/>
        <v>#N/A</v>
      </c>
      <c r="T29" s="29">
        <f t="shared" si="4"/>
        <v>1</v>
      </c>
      <c r="V29" s="29">
        <v>0</v>
      </c>
    </row>
    <row r="30" spans="2:22" x14ac:dyDescent="0.3">
      <c r="B30" s="28">
        <v>17</v>
      </c>
      <c r="C30" s="29">
        <f>SETTINGS!B26</f>
        <v>0</v>
      </c>
      <c r="D30" s="33">
        <f>SETTINGS!C26</f>
        <v>0</v>
      </c>
      <c r="F30" s="31">
        <f>IF('MID-FINAL'!AG23  = "DRP","DRP",'MID-FINAL'!AG23 + I30)</f>
        <v>0</v>
      </c>
      <c r="G30" s="31">
        <f t="shared" si="0"/>
        <v>0</v>
      </c>
      <c r="H30" s="32"/>
      <c r="I30" s="29">
        <v>0</v>
      </c>
      <c r="J30" s="32"/>
      <c r="K30" s="31">
        <f>IF('MID-FINAL'!BI23="DRP","DRP",IF('MID-FINAL'!BI23="FA","FA",'MID-FINAL'!BI23+N30))</f>
        <v>0</v>
      </c>
      <c r="L30" s="31">
        <f t="shared" si="1"/>
        <v>0</v>
      </c>
      <c r="M30" s="32"/>
      <c r="N30" s="29">
        <v>0</v>
      </c>
      <c r="O30" s="32"/>
      <c r="P30" s="31">
        <f t="shared" si="2"/>
        <v>0</v>
      </c>
      <c r="Q30" s="31" t="e">
        <f xml:space="preserve"> IF(P30="DRP","DRP",VLOOKUP(P30,'GRADE EQUIVALENTS'!$C$8:$D$109,2,TRUE))</f>
        <v>#N/A</v>
      </c>
      <c r="S30" s="67" t="e">
        <f t="shared" si="3"/>
        <v>#N/A</v>
      </c>
      <c r="T30" s="29">
        <f t="shared" si="4"/>
        <v>1</v>
      </c>
      <c r="V30" s="29">
        <v>0</v>
      </c>
    </row>
    <row r="31" spans="2:22" x14ac:dyDescent="0.3">
      <c r="B31" s="28">
        <v>18</v>
      </c>
      <c r="C31" s="29">
        <f>SETTINGS!B27</f>
        <v>0</v>
      </c>
      <c r="D31" s="33">
        <f>SETTINGS!C27</f>
        <v>0</v>
      </c>
      <c r="F31" s="31">
        <f>IF('MID-FINAL'!AG24  = "DRP","DRP",'MID-FINAL'!AG24 + I31)</f>
        <v>0</v>
      </c>
      <c r="G31" s="31">
        <f t="shared" si="0"/>
        <v>0</v>
      </c>
      <c r="H31" s="32"/>
      <c r="I31" s="29">
        <v>0</v>
      </c>
      <c r="J31" s="32"/>
      <c r="K31" s="31">
        <f>IF('MID-FINAL'!BI24="DRP","DRP",IF('MID-FINAL'!BI24="FA","FA",'MID-FINAL'!BI24+N31))</f>
        <v>0</v>
      </c>
      <c r="L31" s="31">
        <f t="shared" si="1"/>
        <v>0</v>
      </c>
      <c r="M31" s="32"/>
      <c r="N31" s="29">
        <v>0</v>
      </c>
      <c r="O31" s="32"/>
      <c r="P31" s="31">
        <f t="shared" si="2"/>
        <v>0</v>
      </c>
      <c r="Q31" s="31" t="e">
        <f xml:space="preserve"> IF(P31="DRP","DRP",VLOOKUP(P31,'GRADE EQUIVALENTS'!$C$8:$D$109,2,TRUE))</f>
        <v>#N/A</v>
      </c>
      <c r="S31" s="67" t="e">
        <f t="shared" si="3"/>
        <v>#N/A</v>
      </c>
      <c r="T31" s="29">
        <f t="shared" si="4"/>
        <v>1</v>
      </c>
      <c r="V31" s="29">
        <v>0</v>
      </c>
    </row>
    <row r="32" spans="2:22" x14ac:dyDescent="0.3">
      <c r="B32" s="28">
        <v>19</v>
      </c>
      <c r="C32" s="29">
        <f>SETTINGS!B28</f>
        <v>0</v>
      </c>
      <c r="D32" s="33">
        <f>SETTINGS!C28</f>
        <v>0</v>
      </c>
      <c r="F32" s="31">
        <f>IF('MID-FINAL'!AG25  = "DRP","DRP",'MID-FINAL'!AG25 + I32)</f>
        <v>0</v>
      </c>
      <c r="G32" s="31">
        <f t="shared" si="0"/>
        <v>0</v>
      </c>
      <c r="H32" s="32"/>
      <c r="I32" s="29">
        <v>0</v>
      </c>
      <c r="J32" s="32"/>
      <c r="K32" s="31">
        <f>IF('MID-FINAL'!BI25="DRP","DRP",IF('MID-FINAL'!BI25="FA","FA",'MID-FINAL'!BI25+N32))</f>
        <v>0</v>
      </c>
      <c r="L32" s="31">
        <f t="shared" si="1"/>
        <v>0</v>
      </c>
      <c r="M32" s="32"/>
      <c r="N32" s="29">
        <v>0</v>
      </c>
      <c r="O32" s="32"/>
      <c r="P32" s="31">
        <f t="shared" si="2"/>
        <v>0</v>
      </c>
      <c r="Q32" s="31" t="e">
        <f xml:space="preserve"> IF(P32="DRP","DRP",VLOOKUP(P32,'GRADE EQUIVALENTS'!$C$8:$D$109,2,TRUE))</f>
        <v>#N/A</v>
      </c>
      <c r="S32" s="67" t="e">
        <f t="shared" si="3"/>
        <v>#N/A</v>
      </c>
      <c r="T32" s="29">
        <f t="shared" si="4"/>
        <v>1</v>
      </c>
      <c r="V32" s="29">
        <v>0</v>
      </c>
    </row>
    <row r="33" spans="2:22" x14ac:dyDescent="0.3">
      <c r="B33" s="28">
        <v>20</v>
      </c>
      <c r="C33" s="29">
        <f>SETTINGS!B29</f>
        <v>0</v>
      </c>
      <c r="D33" s="33">
        <f>SETTINGS!C29</f>
        <v>0</v>
      </c>
      <c r="F33" s="31">
        <f>IF('MID-FINAL'!AG26  = "DRP","DRP",'MID-FINAL'!AG26 + I33)</f>
        <v>0</v>
      </c>
      <c r="G33" s="31">
        <f t="shared" si="0"/>
        <v>0</v>
      </c>
      <c r="H33" s="32"/>
      <c r="I33" s="29">
        <v>0</v>
      </c>
      <c r="J33" s="32"/>
      <c r="K33" s="31">
        <f>IF('MID-FINAL'!BI26="DRP","DRP",IF('MID-FINAL'!BI26="FA","FA",'MID-FINAL'!BI26+N33))</f>
        <v>0</v>
      </c>
      <c r="L33" s="31">
        <f t="shared" si="1"/>
        <v>0</v>
      </c>
      <c r="M33" s="32"/>
      <c r="N33" s="29">
        <v>0</v>
      </c>
      <c r="O33" s="32"/>
      <c r="P33" s="31">
        <f t="shared" si="2"/>
        <v>0</v>
      </c>
      <c r="Q33" s="31" t="e">
        <f xml:space="preserve"> IF(P33="DRP","DRP",VLOOKUP(P33,'GRADE EQUIVALENTS'!$C$8:$D$109,2,TRUE))</f>
        <v>#N/A</v>
      </c>
      <c r="S33" s="67" t="e">
        <f t="shared" si="3"/>
        <v>#N/A</v>
      </c>
      <c r="T33" s="29">
        <f t="shared" si="4"/>
        <v>1</v>
      </c>
      <c r="V33" s="29">
        <v>0</v>
      </c>
    </row>
    <row r="34" spans="2:22" x14ac:dyDescent="0.3">
      <c r="B34" s="28">
        <v>21</v>
      </c>
      <c r="C34" s="29">
        <f>SETTINGS!B30</f>
        <v>0</v>
      </c>
      <c r="D34" s="33">
        <f>SETTINGS!C30</f>
        <v>0</v>
      </c>
      <c r="F34" s="31">
        <f>IF('MID-FINAL'!AG27  = "DRP","DRP",'MID-FINAL'!AG27 + I34)</f>
        <v>0</v>
      </c>
      <c r="G34" s="31">
        <f t="shared" si="0"/>
        <v>0</v>
      </c>
      <c r="H34" s="32"/>
      <c r="I34" s="29">
        <v>0</v>
      </c>
      <c r="J34" s="32"/>
      <c r="K34" s="31">
        <f>IF('MID-FINAL'!BI27="DRP","DRP",IF('MID-FINAL'!BI27="FA","FA",'MID-FINAL'!BI27+N34))</f>
        <v>0</v>
      </c>
      <c r="L34" s="31">
        <f t="shared" si="1"/>
        <v>0</v>
      </c>
      <c r="M34" s="32"/>
      <c r="N34" s="29">
        <v>0</v>
      </c>
      <c r="O34" s="32"/>
      <c r="P34" s="31">
        <f t="shared" si="2"/>
        <v>0</v>
      </c>
      <c r="Q34" s="31" t="e">
        <f xml:space="preserve"> IF(P34="DRP","DRP",VLOOKUP(P34,'GRADE EQUIVALENTS'!$C$8:$D$109,2,TRUE))</f>
        <v>#N/A</v>
      </c>
      <c r="S34" s="67" t="e">
        <f t="shared" si="3"/>
        <v>#N/A</v>
      </c>
      <c r="T34" s="29">
        <f t="shared" si="4"/>
        <v>1</v>
      </c>
      <c r="V34" s="29">
        <v>0</v>
      </c>
    </row>
    <row r="35" spans="2:22" x14ac:dyDescent="0.3">
      <c r="B35" s="28">
        <v>22</v>
      </c>
      <c r="C35" s="29">
        <f>SETTINGS!B31</f>
        <v>0</v>
      </c>
      <c r="D35" s="33">
        <f>SETTINGS!C31</f>
        <v>0</v>
      </c>
      <c r="F35" s="31">
        <f>IF('MID-FINAL'!AG28  = "DRP","DRP",'MID-FINAL'!AG28 + I35)</f>
        <v>0</v>
      </c>
      <c r="G35" s="31">
        <f t="shared" si="0"/>
        <v>0</v>
      </c>
      <c r="H35" s="32"/>
      <c r="I35" s="29">
        <v>0</v>
      </c>
      <c r="J35" s="32"/>
      <c r="K35" s="31">
        <f>IF('MID-FINAL'!BI28="DRP","DRP",IF('MID-FINAL'!BI28="FA","FA",'MID-FINAL'!BI28+N35))</f>
        <v>0</v>
      </c>
      <c r="L35" s="31">
        <f t="shared" si="1"/>
        <v>0</v>
      </c>
      <c r="M35" s="32"/>
      <c r="N35" s="29">
        <v>0</v>
      </c>
      <c r="O35" s="32"/>
      <c r="P35" s="31">
        <f t="shared" si="2"/>
        <v>0</v>
      </c>
      <c r="Q35" s="31" t="e">
        <f xml:space="preserve"> IF(P35="DRP","DRP",VLOOKUP(P35,'GRADE EQUIVALENTS'!$C$8:$D$109,2,TRUE))</f>
        <v>#N/A</v>
      </c>
      <c r="S35" s="67" t="e">
        <f t="shared" si="3"/>
        <v>#N/A</v>
      </c>
      <c r="T35" s="29">
        <f t="shared" si="4"/>
        <v>1</v>
      </c>
      <c r="V35" s="29">
        <v>0</v>
      </c>
    </row>
    <row r="36" spans="2:22" x14ac:dyDescent="0.3">
      <c r="B36" s="28">
        <v>23</v>
      </c>
      <c r="C36" s="29">
        <f>SETTINGS!B32</f>
        <v>0</v>
      </c>
      <c r="D36" s="33">
        <f>SETTINGS!C32</f>
        <v>0</v>
      </c>
      <c r="F36" s="31">
        <f>IF('MID-FINAL'!AG29  = "DRP","DRP",'MID-FINAL'!AG29 + I36)</f>
        <v>0</v>
      </c>
      <c r="G36" s="31">
        <f t="shared" si="0"/>
        <v>0</v>
      </c>
      <c r="H36" s="32"/>
      <c r="I36" s="29">
        <v>0</v>
      </c>
      <c r="J36" s="32"/>
      <c r="K36" s="31">
        <f>IF('MID-FINAL'!BI29="DRP","DRP",IF('MID-FINAL'!BI29="FA","FA",'MID-FINAL'!BI29+N36))</f>
        <v>0</v>
      </c>
      <c r="L36" s="31">
        <f t="shared" si="1"/>
        <v>0</v>
      </c>
      <c r="M36" s="32"/>
      <c r="N36" s="29">
        <v>0</v>
      </c>
      <c r="O36" s="32"/>
      <c r="P36" s="31">
        <f t="shared" si="2"/>
        <v>0</v>
      </c>
      <c r="Q36" s="31" t="e">
        <f xml:space="preserve"> IF(P36="DRP","DRP",VLOOKUP(P36,'GRADE EQUIVALENTS'!$C$8:$D$109,2,TRUE))</f>
        <v>#N/A</v>
      </c>
      <c r="S36" s="67" t="e">
        <f t="shared" si="3"/>
        <v>#N/A</v>
      </c>
      <c r="T36" s="29">
        <f t="shared" si="4"/>
        <v>1</v>
      </c>
      <c r="V36" s="29">
        <v>0</v>
      </c>
    </row>
    <row r="37" spans="2:22" x14ac:dyDescent="0.3">
      <c r="B37" s="28">
        <v>24</v>
      </c>
      <c r="C37" s="29">
        <f>SETTINGS!B33</f>
        <v>0</v>
      </c>
      <c r="D37" s="33">
        <f>SETTINGS!C33</f>
        <v>0</v>
      </c>
      <c r="F37" s="31">
        <f>IF('MID-FINAL'!AG30  = "DRP","DRP",'MID-FINAL'!AG30 + I37)</f>
        <v>0</v>
      </c>
      <c r="G37" s="31">
        <f t="shared" si="0"/>
        <v>0</v>
      </c>
      <c r="H37" s="32"/>
      <c r="I37" s="29">
        <v>0</v>
      </c>
      <c r="J37" s="32"/>
      <c r="K37" s="31">
        <f>IF('MID-FINAL'!BI30="DRP","DRP",IF('MID-FINAL'!BI30="FA","FA",'MID-FINAL'!BI30+N37))</f>
        <v>0</v>
      </c>
      <c r="L37" s="31">
        <f t="shared" si="1"/>
        <v>0</v>
      </c>
      <c r="M37" s="32"/>
      <c r="N37" s="29">
        <v>0</v>
      </c>
      <c r="O37" s="32"/>
      <c r="P37" s="31">
        <f t="shared" si="2"/>
        <v>0</v>
      </c>
      <c r="Q37" s="31" t="e">
        <f xml:space="preserve"> IF(P37="DRP","DRP",VLOOKUP(P37,'GRADE EQUIVALENTS'!$C$8:$D$109,2,TRUE))</f>
        <v>#N/A</v>
      </c>
      <c r="S37" s="67" t="e">
        <f t="shared" si="3"/>
        <v>#N/A</v>
      </c>
      <c r="T37" s="29">
        <f t="shared" si="4"/>
        <v>1</v>
      </c>
      <c r="V37" s="29">
        <v>0</v>
      </c>
    </row>
    <row r="38" spans="2:22" x14ac:dyDescent="0.3">
      <c r="B38" s="28">
        <v>25</v>
      </c>
      <c r="C38" s="29">
        <f>SETTINGS!B34</f>
        <v>0</v>
      </c>
      <c r="D38" s="33">
        <f>SETTINGS!C34</f>
        <v>0</v>
      </c>
      <c r="F38" s="31">
        <f>IF('MID-FINAL'!AG31  = "DRP","DRP",'MID-FINAL'!AG31 + I38)</f>
        <v>0</v>
      </c>
      <c r="G38" s="31">
        <f t="shared" si="0"/>
        <v>0</v>
      </c>
      <c r="H38" s="32"/>
      <c r="I38" s="29">
        <v>0</v>
      </c>
      <c r="J38" s="32"/>
      <c r="K38" s="31">
        <f>IF('MID-FINAL'!BI31="DRP","DRP",IF('MID-FINAL'!BI31="FA","FA",'MID-FINAL'!BI31+N38))</f>
        <v>0</v>
      </c>
      <c r="L38" s="31">
        <f t="shared" si="1"/>
        <v>0</v>
      </c>
      <c r="M38" s="32"/>
      <c r="N38" s="29">
        <v>0</v>
      </c>
      <c r="O38" s="32"/>
      <c r="P38" s="31">
        <f t="shared" si="2"/>
        <v>0</v>
      </c>
      <c r="Q38" s="31" t="e">
        <f xml:space="preserve"> IF(P38="DRP","DRP",VLOOKUP(P38,'GRADE EQUIVALENTS'!$C$8:$D$109,2,TRUE))</f>
        <v>#N/A</v>
      </c>
      <c r="S38" s="67" t="e">
        <f t="shared" si="3"/>
        <v>#N/A</v>
      </c>
      <c r="T38" s="29">
        <f t="shared" si="4"/>
        <v>1</v>
      </c>
      <c r="V38" s="29">
        <v>0</v>
      </c>
    </row>
    <row r="39" spans="2:22" x14ac:dyDescent="0.3">
      <c r="B39" s="28">
        <v>26</v>
      </c>
      <c r="C39" s="29">
        <f>SETTINGS!B35</f>
        <v>0</v>
      </c>
      <c r="D39" s="33">
        <f>SETTINGS!C35</f>
        <v>0</v>
      </c>
      <c r="F39" s="31">
        <f>IF('MID-FINAL'!AG32  = "DRP","DRP",'MID-FINAL'!AG32 + I39)</f>
        <v>0</v>
      </c>
      <c r="G39" s="31">
        <f t="shared" si="0"/>
        <v>0</v>
      </c>
      <c r="H39" s="32"/>
      <c r="I39" s="29">
        <v>0</v>
      </c>
      <c r="J39" s="32"/>
      <c r="K39" s="31">
        <f>IF('MID-FINAL'!BI32="DRP","DRP",IF('MID-FINAL'!BI32="FA","FA",'MID-FINAL'!BI32+N39))</f>
        <v>0</v>
      </c>
      <c r="L39" s="31">
        <f t="shared" si="1"/>
        <v>0</v>
      </c>
      <c r="M39" s="32"/>
      <c r="N39" s="29">
        <v>0</v>
      </c>
      <c r="O39" s="32"/>
      <c r="P39" s="31">
        <f t="shared" si="2"/>
        <v>0</v>
      </c>
      <c r="Q39" s="31" t="e">
        <f xml:space="preserve"> IF(P39="DRP","DRP",VLOOKUP(P39,'GRADE EQUIVALENTS'!$C$8:$D$109,2,TRUE))</f>
        <v>#N/A</v>
      </c>
      <c r="S39" s="67" t="e">
        <f t="shared" si="3"/>
        <v>#N/A</v>
      </c>
      <c r="T39" s="29">
        <f t="shared" si="4"/>
        <v>1</v>
      </c>
      <c r="V39" s="29">
        <v>0</v>
      </c>
    </row>
    <row r="40" spans="2:22" x14ac:dyDescent="0.3">
      <c r="B40" s="28">
        <v>27</v>
      </c>
      <c r="C40" s="29">
        <f>SETTINGS!B36</f>
        <v>0</v>
      </c>
      <c r="D40" s="33">
        <f>SETTINGS!C36</f>
        <v>0</v>
      </c>
      <c r="F40" s="31">
        <f>IF('MID-FINAL'!AG33  = "DRP","DRP",'MID-FINAL'!AG33 + I40)</f>
        <v>0</v>
      </c>
      <c r="G40" s="31">
        <f t="shared" si="0"/>
        <v>0</v>
      </c>
      <c r="H40" s="32"/>
      <c r="I40" s="29">
        <v>0</v>
      </c>
      <c r="J40" s="32"/>
      <c r="K40" s="31">
        <f>IF('MID-FINAL'!BI33="DRP","DRP",IF('MID-FINAL'!BI33="FA","FA",'MID-FINAL'!BI33+N40))</f>
        <v>0</v>
      </c>
      <c r="L40" s="31">
        <f t="shared" si="1"/>
        <v>0</v>
      </c>
      <c r="M40" s="32"/>
      <c r="N40" s="29">
        <v>0</v>
      </c>
      <c r="O40" s="32"/>
      <c r="P40" s="31">
        <f t="shared" si="2"/>
        <v>0</v>
      </c>
      <c r="Q40" s="31" t="e">
        <f xml:space="preserve"> IF(P40="DRP","DRP",VLOOKUP(P40,'GRADE EQUIVALENTS'!$C$8:$D$109,2,TRUE))</f>
        <v>#N/A</v>
      </c>
      <c r="S40" s="67" t="e">
        <f t="shared" si="3"/>
        <v>#N/A</v>
      </c>
      <c r="T40" s="29">
        <f t="shared" si="4"/>
        <v>1</v>
      </c>
      <c r="V40" s="29">
        <v>0</v>
      </c>
    </row>
    <row r="41" spans="2:22" x14ac:dyDescent="0.3">
      <c r="B41" s="28">
        <v>28</v>
      </c>
      <c r="C41" s="29">
        <f>SETTINGS!B37</f>
        <v>0</v>
      </c>
      <c r="D41" s="33">
        <f>SETTINGS!C37</f>
        <v>0</v>
      </c>
      <c r="F41" s="31">
        <f>IF('MID-FINAL'!AG34  = "DRP","DRP",'MID-FINAL'!AG34 + I41)</f>
        <v>0</v>
      </c>
      <c r="G41" s="31">
        <f t="shared" si="0"/>
        <v>0</v>
      </c>
      <c r="H41" s="32"/>
      <c r="I41" s="29">
        <v>0</v>
      </c>
      <c r="J41" s="32"/>
      <c r="K41" s="31">
        <f>IF('MID-FINAL'!BI34="DRP","DRP",IF('MID-FINAL'!BI34="FA","FA",'MID-FINAL'!BI34+N41))</f>
        <v>0</v>
      </c>
      <c r="L41" s="31">
        <f t="shared" si="1"/>
        <v>0</v>
      </c>
      <c r="M41" s="32"/>
      <c r="N41" s="29">
        <v>0</v>
      </c>
      <c r="O41" s="32"/>
      <c r="P41" s="31">
        <f t="shared" si="2"/>
        <v>0</v>
      </c>
      <c r="Q41" s="31" t="e">
        <f xml:space="preserve"> IF(P41="DRP","DRP",VLOOKUP(P41,'GRADE EQUIVALENTS'!$C$8:$D$109,2,TRUE))</f>
        <v>#N/A</v>
      </c>
      <c r="S41" s="67" t="e">
        <f t="shared" si="3"/>
        <v>#N/A</v>
      </c>
      <c r="T41" s="29">
        <f t="shared" si="4"/>
        <v>1</v>
      </c>
      <c r="V41" s="29">
        <v>0</v>
      </c>
    </row>
    <row r="42" spans="2:22" x14ac:dyDescent="0.3">
      <c r="B42" s="28">
        <v>29</v>
      </c>
      <c r="C42" s="29">
        <f>SETTINGS!B38</f>
        <v>0</v>
      </c>
      <c r="D42" s="33">
        <f>SETTINGS!C38</f>
        <v>0</v>
      </c>
      <c r="F42" s="31">
        <f>IF('MID-FINAL'!AG35  = "DRP","DRP",'MID-FINAL'!AG35 + I42)</f>
        <v>0</v>
      </c>
      <c r="G42" s="31">
        <f t="shared" si="0"/>
        <v>0</v>
      </c>
      <c r="H42" s="32"/>
      <c r="I42" s="29">
        <v>0</v>
      </c>
      <c r="J42" s="32"/>
      <c r="K42" s="31">
        <f>IF('MID-FINAL'!BI35="DRP","DRP",IF('MID-FINAL'!BI35="FA","FA",'MID-FINAL'!BI35+N42))</f>
        <v>0</v>
      </c>
      <c r="L42" s="31">
        <f t="shared" si="1"/>
        <v>0</v>
      </c>
      <c r="M42" s="32"/>
      <c r="N42" s="29">
        <v>0</v>
      </c>
      <c r="O42" s="32"/>
      <c r="P42" s="31">
        <f t="shared" si="2"/>
        <v>0</v>
      </c>
      <c r="Q42" s="31" t="e">
        <f xml:space="preserve"> IF(P42="DRP","DRP",VLOOKUP(P42,'GRADE EQUIVALENTS'!$C$8:$D$109,2,TRUE))</f>
        <v>#N/A</v>
      </c>
      <c r="S42" s="67" t="e">
        <f t="shared" si="3"/>
        <v>#N/A</v>
      </c>
      <c r="T42" s="29">
        <f t="shared" si="4"/>
        <v>1</v>
      </c>
      <c r="V42" s="29">
        <v>0</v>
      </c>
    </row>
    <row r="43" spans="2:22" x14ac:dyDescent="0.3">
      <c r="B43" s="28">
        <v>30</v>
      </c>
      <c r="C43" s="29">
        <f>SETTINGS!B39</f>
        <v>0</v>
      </c>
      <c r="D43" s="33">
        <f>SETTINGS!C39</f>
        <v>0</v>
      </c>
      <c r="F43" s="31">
        <f>IF('MID-FINAL'!AG36  = "DRP","DRP",'MID-FINAL'!AG36 + I43)</f>
        <v>0</v>
      </c>
      <c r="G43" s="31">
        <f t="shared" si="0"/>
        <v>0</v>
      </c>
      <c r="H43" s="32"/>
      <c r="I43" s="29">
        <v>0</v>
      </c>
      <c r="J43" s="32"/>
      <c r="K43" s="31">
        <f>IF('MID-FINAL'!BI36="DRP","DRP",IF('MID-FINAL'!BI36="FA","FA",'MID-FINAL'!BI36+N43))</f>
        <v>0</v>
      </c>
      <c r="L43" s="31">
        <f t="shared" si="1"/>
        <v>0</v>
      </c>
      <c r="M43" s="32"/>
      <c r="N43" s="29">
        <v>0</v>
      </c>
      <c r="O43" s="32"/>
      <c r="P43" s="31">
        <f t="shared" si="2"/>
        <v>0</v>
      </c>
      <c r="Q43" s="31" t="e">
        <f xml:space="preserve"> IF(P43="DRP","DRP",VLOOKUP(P43,'GRADE EQUIVALENTS'!$C$8:$D$109,2,TRUE))</f>
        <v>#N/A</v>
      </c>
      <c r="S43" s="67" t="e">
        <f t="shared" si="3"/>
        <v>#N/A</v>
      </c>
      <c r="T43" s="29">
        <f t="shared" si="4"/>
        <v>1</v>
      </c>
      <c r="V43" s="29">
        <v>0</v>
      </c>
    </row>
    <row r="44" spans="2:22" x14ac:dyDescent="0.3">
      <c r="B44" s="28">
        <v>31</v>
      </c>
      <c r="C44" s="29">
        <f>SETTINGS!B40</f>
        <v>0</v>
      </c>
      <c r="D44" s="33">
        <f>SETTINGS!C40</f>
        <v>0</v>
      </c>
      <c r="F44" s="31">
        <f>IF('MID-FINAL'!AG37  = "DRP","DRP",'MID-FINAL'!AG37 + I44)</f>
        <v>0</v>
      </c>
      <c r="G44" s="31">
        <f t="shared" si="0"/>
        <v>0</v>
      </c>
      <c r="H44" s="32"/>
      <c r="I44" s="29">
        <v>0</v>
      </c>
      <c r="J44" s="32"/>
      <c r="K44" s="31">
        <f>IF('MID-FINAL'!BI37="DRP","DRP",IF('MID-FINAL'!BI37="FA","FA",'MID-FINAL'!BI37+N44))</f>
        <v>0</v>
      </c>
      <c r="L44" s="31">
        <f t="shared" si="1"/>
        <v>0</v>
      </c>
      <c r="M44" s="32"/>
      <c r="N44" s="29">
        <v>0</v>
      </c>
      <c r="O44" s="32"/>
      <c r="P44" s="31">
        <f t="shared" si="2"/>
        <v>0</v>
      </c>
      <c r="Q44" s="31" t="e">
        <f xml:space="preserve"> IF(P44="DRP","DRP",VLOOKUP(P44,'GRADE EQUIVALENTS'!$C$8:$D$109,2,TRUE))</f>
        <v>#N/A</v>
      </c>
      <c r="S44" s="67" t="e">
        <f t="shared" si="3"/>
        <v>#N/A</v>
      </c>
      <c r="T44" s="29">
        <f t="shared" si="4"/>
        <v>1</v>
      </c>
      <c r="V44" s="29">
        <v>0</v>
      </c>
    </row>
    <row r="45" spans="2:22" x14ac:dyDescent="0.3">
      <c r="B45" s="28">
        <v>32</v>
      </c>
      <c r="C45" s="29">
        <f>SETTINGS!B41</f>
        <v>0</v>
      </c>
      <c r="D45" s="33">
        <f>SETTINGS!C41</f>
        <v>0</v>
      </c>
      <c r="F45" s="31">
        <f>IF('MID-FINAL'!AG38  = "DRP","DRP",'MID-FINAL'!AG38 + I45)</f>
        <v>0</v>
      </c>
      <c r="G45" s="31">
        <f t="shared" si="0"/>
        <v>0</v>
      </c>
      <c r="H45" s="32"/>
      <c r="I45" s="29">
        <v>0</v>
      </c>
      <c r="J45" s="32"/>
      <c r="K45" s="31">
        <f>IF('MID-FINAL'!BI38="DRP","DRP",IF('MID-FINAL'!BI38="FA","FA",'MID-FINAL'!BI38+N45))</f>
        <v>0</v>
      </c>
      <c r="L45" s="31">
        <f t="shared" si="1"/>
        <v>0</v>
      </c>
      <c r="M45" s="32"/>
      <c r="N45" s="29">
        <v>0</v>
      </c>
      <c r="O45" s="32"/>
      <c r="P45" s="31">
        <f t="shared" si="2"/>
        <v>0</v>
      </c>
      <c r="Q45" s="31" t="e">
        <f xml:space="preserve"> IF(P45="DRP","DRP",VLOOKUP(P45,'GRADE EQUIVALENTS'!$C$8:$D$109,2,TRUE))</f>
        <v>#N/A</v>
      </c>
      <c r="S45" s="67" t="e">
        <f t="shared" si="3"/>
        <v>#N/A</v>
      </c>
      <c r="T45" s="29">
        <f t="shared" si="4"/>
        <v>1</v>
      </c>
      <c r="V45" s="29">
        <v>0</v>
      </c>
    </row>
    <row r="46" spans="2:22" x14ac:dyDescent="0.3">
      <c r="B46" s="28">
        <v>33</v>
      </c>
      <c r="C46" s="29">
        <f>SETTINGS!B42</f>
        <v>0</v>
      </c>
      <c r="D46" s="33">
        <f>SETTINGS!C42</f>
        <v>0</v>
      </c>
      <c r="F46" s="31">
        <f>IF('MID-FINAL'!AG39  = "DRP","DRP",'MID-FINAL'!AG39 + I46)</f>
        <v>0</v>
      </c>
      <c r="G46" s="31">
        <f t="shared" si="0"/>
        <v>0</v>
      </c>
      <c r="H46" s="32"/>
      <c r="I46" s="29">
        <v>0</v>
      </c>
      <c r="J46" s="32"/>
      <c r="K46" s="31">
        <f>IF('MID-FINAL'!BI39="DRP","DRP",IF('MID-FINAL'!BI39="FA","FA",'MID-FINAL'!BI39+N46))</f>
        <v>0</v>
      </c>
      <c r="L46" s="31">
        <f t="shared" si="1"/>
        <v>0</v>
      </c>
      <c r="M46" s="32"/>
      <c r="N46" s="29">
        <v>0</v>
      </c>
      <c r="O46" s="32"/>
      <c r="P46" s="31">
        <f t="shared" si="2"/>
        <v>0</v>
      </c>
      <c r="Q46" s="31" t="e">
        <f xml:space="preserve"> IF(P46="DRP","DRP",VLOOKUP(P46,'GRADE EQUIVALENTS'!$C$8:$D$109,2,TRUE))</f>
        <v>#N/A</v>
      </c>
      <c r="S46" s="67" t="e">
        <f t="shared" si="3"/>
        <v>#N/A</v>
      </c>
      <c r="T46" s="29">
        <f t="shared" si="4"/>
        <v>1</v>
      </c>
      <c r="V46" s="29">
        <v>0</v>
      </c>
    </row>
    <row r="47" spans="2:22" x14ac:dyDescent="0.3">
      <c r="B47" s="28">
        <v>34</v>
      </c>
      <c r="C47" s="29">
        <f>SETTINGS!B43</f>
        <v>0</v>
      </c>
      <c r="D47" s="33">
        <f>SETTINGS!C43</f>
        <v>0</v>
      </c>
      <c r="F47" s="31">
        <f>IF('MID-FINAL'!AG40  = "DRP","DRP",'MID-FINAL'!AG40 + I47)</f>
        <v>0</v>
      </c>
      <c r="G47" s="31">
        <f t="shared" si="0"/>
        <v>0</v>
      </c>
      <c r="H47" s="32"/>
      <c r="I47" s="29">
        <v>0</v>
      </c>
      <c r="J47" s="32"/>
      <c r="K47" s="31">
        <f>IF('MID-FINAL'!BI40="DRP","DRP",IF('MID-FINAL'!BI40="FA","FA",'MID-FINAL'!BI40+N47))</f>
        <v>0</v>
      </c>
      <c r="L47" s="31">
        <f t="shared" si="1"/>
        <v>0</v>
      </c>
      <c r="M47" s="32"/>
      <c r="N47" s="29">
        <v>0</v>
      </c>
      <c r="O47" s="32"/>
      <c r="P47" s="31">
        <f t="shared" si="2"/>
        <v>0</v>
      </c>
      <c r="Q47" s="31" t="e">
        <f xml:space="preserve"> IF(P47="DRP","DRP",VLOOKUP(P47,'GRADE EQUIVALENTS'!$C$8:$D$109,2,TRUE))</f>
        <v>#N/A</v>
      </c>
      <c r="S47" s="67" t="e">
        <f t="shared" si="3"/>
        <v>#N/A</v>
      </c>
      <c r="T47" s="29">
        <f t="shared" si="4"/>
        <v>1</v>
      </c>
      <c r="V47" s="29">
        <v>0</v>
      </c>
    </row>
    <row r="48" spans="2:22" x14ac:dyDescent="0.3">
      <c r="B48" s="28">
        <v>35</v>
      </c>
      <c r="C48" s="29">
        <f>SETTINGS!B44</f>
        <v>0</v>
      </c>
      <c r="D48" s="33">
        <f>SETTINGS!C44</f>
        <v>0</v>
      </c>
      <c r="F48" s="31">
        <f>IF('MID-FINAL'!AG41  = "DRP","DRP",'MID-FINAL'!AG41 + I48)</f>
        <v>0</v>
      </c>
      <c r="G48" s="31">
        <f t="shared" si="0"/>
        <v>0</v>
      </c>
      <c r="H48" s="32"/>
      <c r="I48" s="29">
        <v>0</v>
      </c>
      <c r="J48" s="32"/>
      <c r="K48" s="31">
        <f>IF('MID-FINAL'!BI41="DRP","DRP",IF('MID-FINAL'!BI41="FA","FA",'MID-FINAL'!BI41+N48))</f>
        <v>0</v>
      </c>
      <c r="L48" s="31">
        <f t="shared" si="1"/>
        <v>0</v>
      </c>
      <c r="M48" s="32"/>
      <c r="N48" s="29">
        <v>0</v>
      </c>
      <c r="O48" s="32"/>
      <c r="P48" s="31">
        <f t="shared" si="2"/>
        <v>0</v>
      </c>
      <c r="Q48" s="31" t="e">
        <f xml:space="preserve"> IF(P48="DRP","DRP",VLOOKUP(P48,'GRADE EQUIVALENTS'!$C$8:$D$109,2,TRUE))</f>
        <v>#N/A</v>
      </c>
      <c r="S48" s="67" t="e">
        <f t="shared" si="3"/>
        <v>#N/A</v>
      </c>
      <c r="T48" s="29">
        <f t="shared" si="4"/>
        <v>1</v>
      </c>
      <c r="V48" s="29">
        <v>0</v>
      </c>
    </row>
    <row r="49" spans="2:22" x14ac:dyDescent="0.3">
      <c r="B49" s="28">
        <v>36</v>
      </c>
      <c r="C49" s="29">
        <f>SETTINGS!B45</f>
        <v>0</v>
      </c>
      <c r="D49" s="33">
        <f>SETTINGS!C45</f>
        <v>0</v>
      </c>
      <c r="F49" s="31">
        <f>IF('MID-FINAL'!AG42  = "DRP","DRP",'MID-FINAL'!AG42 + I49)</f>
        <v>0</v>
      </c>
      <c r="G49" s="31">
        <f t="shared" si="0"/>
        <v>0</v>
      </c>
      <c r="H49" s="32"/>
      <c r="I49" s="29">
        <v>0</v>
      </c>
      <c r="J49" s="32"/>
      <c r="K49" s="31">
        <f>IF('MID-FINAL'!BI42="DRP","DRP",IF('MID-FINAL'!BI42="FA","FA",'MID-FINAL'!BI42+N49))</f>
        <v>0</v>
      </c>
      <c r="L49" s="31">
        <f t="shared" si="1"/>
        <v>0</v>
      </c>
      <c r="M49" s="32"/>
      <c r="N49" s="29">
        <v>0</v>
      </c>
      <c r="O49" s="32"/>
      <c r="P49" s="31">
        <f t="shared" si="2"/>
        <v>0</v>
      </c>
      <c r="Q49" s="31" t="e">
        <f xml:space="preserve"> IF(P49="DRP","DRP",VLOOKUP(P49,'GRADE EQUIVALENTS'!$C$8:$D$109,2,TRUE))</f>
        <v>#N/A</v>
      </c>
      <c r="S49" s="67" t="e">
        <f t="shared" si="3"/>
        <v>#N/A</v>
      </c>
      <c r="T49" s="29">
        <f t="shared" si="4"/>
        <v>1</v>
      </c>
      <c r="V49" s="29">
        <v>0</v>
      </c>
    </row>
    <row r="50" spans="2:22" x14ac:dyDescent="0.3">
      <c r="B50" s="28">
        <v>37</v>
      </c>
      <c r="C50" s="29">
        <f>SETTINGS!B46</f>
        <v>0</v>
      </c>
      <c r="D50" s="33">
        <f>SETTINGS!C46</f>
        <v>0</v>
      </c>
      <c r="F50" s="31">
        <f>IF('MID-FINAL'!AG43  = "DRP","DRP",'MID-FINAL'!AG43 + I50)</f>
        <v>0</v>
      </c>
      <c r="G50" s="31">
        <f t="shared" si="0"/>
        <v>0</v>
      </c>
      <c r="H50" s="32"/>
      <c r="I50" s="29">
        <v>0</v>
      </c>
      <c r="J50" s="32"/>
      <c r="K50" s="31">
        <f>IF('MID-FINAL'!BI43="DRP","DRP",IF('MID-FINAL'!BI43="FA","FA",'MID-FINAL'!BI43+N50))</f>
        <v>0</v>
      </c>
      <c r="L50" s="31">
        <f t="shared" si="1"/>
        <v>0</v>
      </c>
      <c r="M50" s="32"/>
      <c r="N50" s="29">
        <v>0</v>
      </c>
      <c r="O50" s="32"/>
      <c r="P50" s="31">
        <f t="shared" si="2"/>
        <v>0</v>
      </c>
      <c r="Q50" s="31" t="e">
        <f xml:space="preserve"> IF(P50="DRP","DRP",VLOOKUP(P50,'GRADE EQUIVALENTS'!$C$8:$D$109,2,TRUE))</f>
        <v>#N/A</v>
      </c>
      <c r="S50" s="67" t="e">
        <f t="shared" si="3"/>
        <v>#N/A</v>
      </c>
      <c r="T50" s="29">
        <f t="shared" si="4"/>
        <v>1</v>
      </c>
      <c r="V50" s="29">
        <v>0</v>
      </c>
    </row>
    <row r="51" spans="2:22" x14ac:dyDescent="0.3">
      <c r="B51" s="28">
        <v>38</v>
      </c>
      <c r="C51" s="29">
        <f>SETTINGS!B47</f>
        <v>0</v>
      </c>
      <c r="D51" s="33">
        <f>SETTINGS!C47</f>
        <v>0</v>
      </c>
      <c r="F51" s="31">
        <f>IF('MID-FINAL'!AG44  = "DRP","DRP",'MID-FINAL'!AG44 + I51)</f>
        <v>0</v>
      </c>
      <c r="G51" s="31">
        <f t="shared" si="0"/>
        <v>0</v>
      </c>
      <c r="H51" s="32"/>
      <c r="I51" s="29">
        <v>0</v>
      </c>
      <c r="J51" s="32"/>
      <c r="K51" s="31">
        <f>IF('MID-FINAL'!BI44="DRP","DRP",IF('MID-FINAL'!BI44="FA","FA",'MID-FINAL'!BI44+N51))</f>
        <v>0</v>
      </c>
      <c r="L51" s="31">
        <f t="shared" si="1"/>
        <v>0</v>
      </c>
      <c r="M51" s="32"/>
      <c r="N51" s="29">
        <v>0</v>
      </c>
      <c r="O51" s="32"/>
      <c r="P51" s="31">
        <f t="shared" si="2"/>
        <v>0</v>
      </c>
      <c r="Q51" s="31" t="e">
        <f xml:space="preserve"> IF(P51="DRP","DRP",VLOOKUP(P51,'GRADE EQUIVALENTS'!$C$8:$D$109,2,TRUE))</f>
        <v>#N/A</v>
      </c>
      <c r="S51" s="67" t="e">
        <f t="shared" si="3"/>
        <v>#N/A</v>
      </c>
      <c r="T51" s="29">
        <f t="shared" si="4"/>
        <v>1</v>
      </c>
      <c r="V51" s="29">
        <v>0</v>
      </c>
    </row>
    <row r="52" spans="2:22" x14ac:dyDescent="0.3">
      <c r="B52" s="28">
        <v>39</v>
      </c>
      <c r="C52" s="29">
        <f>SETTINGS!B48</f>
        <v>0</v>
      </c>
      <c r="D52" s="33">
        <f>SETTINGS!C48</f>
        <v>0</v>
      </c>
      <c r="F52" s="31">
        <f>IF('MID-FINAL'!AG45  = "DRP","DRP",'MID-FINAL'!AG45 + I52)</f>
        <v>0</v>
      </c>
      <c r="G52" s="31">
        <f t="shared" si="0"/>
        <v>0</v>
      </c>
      <c r="H52" s="32"/>
      <c r="I52" s="29">
        <v>0</v>
      </c>
      <c r="J52" s="32"/>
      <c r="K52" s="31">
        <f>IF('MID-FINAL'!BI45="DRP","DRP",IF('MID-FINAL'!BI45="FA","FA",'MID-FINAL'!BI45+N52))</f>
        <v>0</v>
      </c>
      <c r="L52" s="31">
        <f t="shared" si="1"/>
        <v>0</v>
      </c>
      <c r="M52" s="32"/>
      <c r="N52" s="29">
        <v>0</v>
      </c>
      <c r="O52" s="32"/>
      <c r="P52" s="31">
        <f t="shared" si="2"/>
        <v>0</v>
      </c>
      <c r="Q52" s="31" t="e">
        <f xml:space="preserve"> IF(P52="DRP","DRP",VLOOKUP(P52,'GRADE EQUIVALENTS'!$C$8:$D$109,2,TRUE))</f>
        <v>#N/A</v>
      </c>
      <c r="S52" s="67" t="e">
        <f t="shared" si="3"/>
        <v>#N/A</v>
      </c>
      <c r="T52" s="29">
        <f t="shared" si="4"/>
        <v>1</v>
      </c>
      <c r="V52" s="29">
        <v>0</v>
      </c>
    </row>
    <row r="53" spans="2:22" x14ac:dyDescent="0.3">
      <c r="B53" s="28">
        <v>40</v>
      </c>
      <c r="C53" s="29">
        <f>SETTINGS!B49</f>
        <v>0</v>
      </c>
      <c r="D53" s="33">
        <f>SETTINGS!C49</f>
        <v>0</v>
      </c>
      <c r="F53" s="31">
        <f>IF('MID-FINAL'!AG46  = "DRP","DRP",'MID-FINAL'!AG46 + I53)</f>
        <v>0</v>
      </c>
      <c r="G53" s="31">
        <f t="shared" si="0"/>
        <v>0</v>
      </c>
      <c r="H53" s="32"/>
      <c r="I53" s="29">
        <v>0</v>
      </c>
      <c r="J53" s="32"/>
      <c r="K53" s="31">
        <f>IF('MID-FINAL'!BI46="DRP","DRP",IF('MID-FINAL'!BI46="FA","FA",'MID-FINAL'!BI46+N53))</f>
        <v>0</v>
      </c>
      <c r="L53" s="31">
        <f t="shared" si="1"/>
        <v>0</v>
      </c>
      <c r="M53" s="32"/>
      <c r="N53" s="29">
        <v>0</v>
      </c>
      <c r="O53" s="32"/>
      <c r="P53" s="31">
        <f t="shared" si="2"/>
        <v>0</v>
      </c>
      <c r="Q53" s="31" t="e">
        <f xml:space="preserve"> IF(P53="DRP","DRP",VLOOKUP(P53,'GRADE EQUIVALENTS'!$C$8:$D$109,2,TRUE))</f>
        <v>#N/A</v>
      </c>
      <c r="S53" s="67" t="e">
        <f t="shared" si="3"/>
        <v>#N/A</v>
      </c>
      <c r="T53" s="29">
        <f t="shared" si="4"/>
        <v>1</v>
      </c>
      <c r="V53" s="29">
        <v>0</v>
      </c>
    </row>
    <row r="54" spans="2:22" x14ac:dyDescent="0.3">
      <c r="B54" s="28">
        <v>41</v>
      </c>
      <c r="C54" s="29">
        <f>SETTINGS!B50</f>
        <v>0</v>
      </c>
      <c r="D54" s="33">
        <f>SETTINGS!C50</f>
        <v>0</v>
      </c>
      <c r="F54" s="31">
        <f>IF('MID-FINAL'!AG47  = "DRP","DRP",'MID-FINAL'!AG47 + I54)</f>
        <v>0</v>
      </c>
      <c r="G54" s="31">
        <f t="shared" si="0"/>
        <v>0</v>
      </c>
      <c r="H54" s="32"/>
      <c r="I54" s="29">
        <v>0</v>
      </c>
      <c r="J54" s="32"/>
      <c r="K54" s="31">
        <f>IF('MID-FINAL'!BI47="DRP","DRP",IF('MID-FINAL'!BI47="FA","FA",'MID-FINAL'!BI47+N54))</f>
        <v>0</v>
      </c>
      <c r="L54" s="31">
        <f t="shared" si="1"/>
        <v>0</v>
      </c>
      <c r="M54" s="32"/>
      <c r="N54" s="29">
        <v>0</v>
      </c>
      <c r="O54" s="32"/>
      <c r="P54" s="31">
        <f t="shared" si="2"/>
        <v>0</v>
      </c>
      <c r="Q54" s="31" t="e">
        <f xml:space="preserve"> IF(P54="DRP","DRP",VLOOKUP(P54,'GRADE EQUIVALENTS'!$C$8:$D$109,2,TRUE))</f>
        <v>#N/A</v>
      </c>
      <c r="S54" s="67" t="e">
        <f t="shared" si="3"/>
        <v>#N/A</v>
      </c>
      <c r="T54" s="29">
        <f t="shared" si="4"/>
        <v>1</v>
      </c>
      <c r="V54" s="29">
        <v>0</v>
      </c>
    </row>
    <row r="55" spans="2:22" x14ac:dyDescent="0.3">
      <c r="B55" s="28">
        <v>42</v>
      </c>
      <c r="C55" s="29">
        <f>SETTINGS!B51</f>
        <v>0</v>
      </c>
      <c r="D55" s="33">
        <f>SETTINGS!C51</f>
        <v>0</v>
      </c>
      <c r="F55" s="31">
        <f>IF('MID-FINAL'!AG48  = "DRP","DRP",'MID-FINAL'!AG48 + I55)</f>
        <v>0</v>
      </c>
      <c r="G55" s="31">
        <f t="shared" si="0"/>
        <v>0</v>
      </c>
      <c r="H55" s="32"/>
      <c r="I55" s="29">
        <v>0</v>
      </c>
      <c r="J55" s="32"/>
      <c r="K55" s="31">
        <f>IF('MID-FINAL'!BI48="DRP","DRP",IF('MID-FINAL'!BI48="FA","FA",'MID-FINAL'!BI48+N55))</f>
        <v>0</v>
      </c>
      <c r="L55" s="31">
        <f t="shared" si="1"/>
        <v>0</v>
      </c>
      <c r="M55" s="32"/>
      <c r="N55" s="29">
        <v>0</v>
      </c>
      <c r="O55" s="32"/>
      <c r="P55" s="31">
        <f t="shared" si="2"/>
        <v>0</v>
      </c>
      <c r="Q55" s="31" t="e">
        <f xml:space="preserve"> IF(P55="DRP","DRP",VLOOKUP(P55,'GRADE EQUIVALENTS'!$C$8:$D$109,2,TRUE))</f>
        <v>#N/A</v>
      </c>
      <c r="S55" s="67" t="e">
        <f t="shared" si="3"/>
        <v>#N/A</v>
      </c>
      <c r="T55" s="29">
        <f t="shared" si="4"/>
        <v>1</v>
      </c>
      <c r="V55" s="29">
        <v>0</v>
      </c>
    </row>
    <row r="56" spans="2:22" x14ac:dyDescent="0.3">
      <c r="B56" s="28">
        <v>43</v>
      </c>
      <c r="C56" s="29">
        <f>SETTINGS!B52</f>
        <v>0</v>
      </c>
      <c r="D56" s="33">
        <f>SETTINGS!C52</f>
        <v>0</v>
      </c>
      <c r="F56" s="31">
        <f>IF('MID-FINAL'!AG49  = "DRP","DRP",'MID-FINAL'!AG49 + I56)</f>
        <v>0</v>
      </c>
      <c r="G56" s="31">
        <f t="shared" si="0"/>
        <v>0</v>
      </c>
      <c r="H56" s="32"/>
      <c r="I56" s="29">
        <v>0</v>
      </c>
      <c r="J56" s="32"/>
      <c r="K56" s="31">
        <f>IF('MID-FINAL'!BI49="DRP","DRP",IF('MID-FINAL'!BI49="FA","FA",'MID-FINAL'!BI49+N56))</f>
        <v>0</v>
      </c>
      <c r="L56" s="31">
        <f t="shared" si="1"/>
        <v>0</v>
      </c>
      <c r="M56" s="32"/>
      <c r="N56" s="29">
        <v>0</v>
      </c>
      <c r="O56" s="32"/>
      <c r="P56" s="31">
        <f t="shared" si="2"/>
        <v>0</v>
      </c>
      <c r="Q56" s="31" t="e">
        <f xml:space="preserve"> IF(P56="DRP","DRP",VLOOKUP(P56,'GRADE EQUIVALENTS'!$C$8:$D$109,2,TRUE))</f>
        <v>#N/A</v>
      </c>
      <c r="S56" s="67" t="e">
        <f t="shared" si="3"/>
        <v>#N/A</v>
      </c>
      <c r="T56" s="29">
        <f t="shared" si="4"/>
        <v>1</v>
      </c>
      <c r="V56" s="29">
        <v>0</v>
      </c>
    </row>
    <row r="57" spans="2:22" x14ac:dyDescent="0.3">
      <c r="B57" s="28">
        <v>44</v>
      </c>
      <c r="C57" s="29">
        <f>SETTINGS!B53</f>
        <v>0</v>
      </c>
      <c r="D57" s="33">
        <f>SETTINGS!C53</f>
        <v>0</v>
      </c>
      <c r="F57" s="31">
        <f>IF('MID-FINAL'!AG50  = "DRP","DRP",'MID-FINAL'!AG50 + I57)</f>
        <v>0</v>
      </c>
      <c r="G57" s="31">
        <f t="shared" si="0"/>
        <v>0</v>
      </c>
      <c r="H57" s="32"/>
      <c r="I57" s="29">
        <v>0</v>
      </c>
      <c r="J57" s="32"/>
      <c r="K57" s="31">
        <f>IF('MID-FINAL'!BI50="DRP","DRP",IF('MID-FINAL'!BI50="FA","FA",'MID-FINAL'!BI50+N57))</f>
        <v>0</v>
      </c>
      <c r="L57" s="31">
        <f t="shared" si="1"/>
        <v>0</v>
      </c>
      <c r="M57" s="32"/>
      <c r="N57" s="29">
        <v>0</v>
      </c>
      <c r="O57" s="32"/>
      <c r="P57" s="31">
        <f t="shared" si="2"/>
        <v>0</v>
      </c>
      <c r="Q57" s="31" t="e">
        <f xml:space="preserve"> IF(P57="DRP","DRP",VLOOKUP(P57,'GRADE EQUIVALENTS'!$C$8:$D$109,2,TRUE))</f>
        <v>#N/A</v>
      </c>
      <c r="S57" s="67" t="e">
        <f t="shared" si="3"/>
        <v>#N/A</v>
      </c>
      <c r="T57" s="29">
        <f t="shared" si="4"/>
        <v>1</v>
      </c>
      <c r="V57" s="29">
        <v>0</v>
      </c>
    </row>
    <row r="58" spans="2:22" x14ac:dyDescent="0.3">
      <c r="B58" s="28">
        <v>45</v>
      </c>
      <c r="C58" s="29">
        <f>SETTINGS!B54</f>
        <v>0</v>
      </c>
      <c r="D58" s="33">
        <f>SETTINGS!C54</f>
        <v>0</v>
      </c>
      <c r="F58" s="31">
        <f>IF('MID-FINAL'!AG51  = "DRP","DRP",'MID-FINAL'!AG51 + I58)</f>
        <v>0</v>
      </c>
      <c r="G58" s="31">
        <f t="shared" si="0"/>
        <v>0</v>
      </c>
      <c r="H58" s="32"/>
      <c r="I58" s="29">
        <v>0</v>
      </c>
      <c r="J58" s="32"/>
      <c r="K58" s="31">
        <f>IF('MID-FINAL'!BI51="DRP","DRP",IF('MID-FINAL'!BI51="FA","FA",'MID-FINAL'!BI51+N58))</f>
        <v>0</v>
      </c>
      <c r="L58" s="31">
        <f t="shared" si="1"/>
        <v>0</v>
      </c>
      <c r="M58" s="32"/>
      <c r="N58" s="29">
        <v>0</v>
      </c>
      <c r="O58" s="32"/>
      <c r="P58" s="31">
        <f t="shared" si="2"/>
        <v>0</v>
      </c>
      <c r="Q58" s="31" t="e">
        <f xml:space="preserve"> IF(P58="DRP","DRP",VLOOKUP(P58,'GRADE EQUIVALENTS'!$C$8:$D$109,2,TRUE))</f>
        <v>#N/A</v>
      </c>
      <c r="S58" s="67" t="e">
        <f t="shared" si="3"/>
        <v>#N/A</v>
      </c>
      <c r="T58" s="29">
        <f t="shared" si="4"/>
        <v>1</v>
      </c>
      <c r="V58" s="29">
        <v>0</v>
      </c>
    </row>
    <row r="59" spans="2:22" x14ac:dyDescent="0.3">
      <c r="B59" s="28">
        <v>46</v>
      </c>
      <c r="C59" s="29">
        <f>SETTINGS!B55</f>
        <v>0</v>
      </c>
      <c r="D59" s="33">
        <f>SETTINGS!C55</f>
        <v>0</v>
      </c>
      <c r="F59" s="31">
        <f>IF('MID-FINAL'!AG52  = "DRP","DRP",'MID-FINAL'!AG52 + I59)</f>
        <v>0</v>
      </c>
      <c r="G59" s="31">
        <f t="shared" si="0"/>
        <v>0</v>
      </c>
      <c r="H59" s="32"/>
      <c r="I59" s="29">
        <v>0</v>
      </c>
      <c r="J59" s="32"/>
      <c r="K59" s="31">
        <f>IF('MID-FINAL'!BI52="DRP","DRP",IF('MID-FINAL'!BI52="FA","FA",'MID-FINAL'!BI52+N59))</f>
        <v>0</v>
      </c>
      <c r="L59" s="31">
        <f t="shared" si="1"/>
        <v>0</v>
      </c>
      <c r="M59" s="32"/>
      <c r="N59" s="29">
        <v>0</v>
      </c>
      <c r="O59" s="32"/>
      <c r="P59" s="31">
        <f t="shared" si="2"/>
        <v>0</v>
      </c>
      <c r="Q59" s="31" t="e">
        <f xml:space="preserve"> IF(P59="DRP","DRP",VLOOKUP(P59,'GRADE EQUIVALENTS'!$C$8:$D$109,2,TRUE))</f>
        <v>#N/A</v>
      </c>
      <c r="S59" s="67" t="e">
        <f t="shared" si="3"/>
        <v>#N/A</v>
      </c>
      <c r="T59" s="29">
        <f t="shared" si="4"/>
        <v>1</v>
      </c>
      <c r="V59" s="29">
        <v>0</v>
      </c>
    </row>
    <row r="60" spans="2:22" x14ac:dyDescent="0.3">
      <c r="B60" s="28">
        <v>47</v>
      </c>
      <c r="C60" s="29">
        <f>SETTINGS!B56</f>
        <v>0</v>
      </c>
      <c r="D60" s="33">
        <f>SETTINGS!C56</f>
        <v>0</v>
      </c>
      <c r="F60" s="31">
        <f>IF('MID-FINAL'!AG53  = "DRP","DRP",'MID-FINAL'!AG53 + I60)</f>
        <v>0</v>
      </c>
      <c r="G60" s="31">
        <f t="shared" si="0"/>
        <v>0</v>
      </c>
      <c r="H60" s="32"/>
      <c r="I60" s="29">
        <v>0</v>
      </c>
      <c r="J60" s="32"/>
      <c r="K60" s="31">
        <f>IF('MID-FINAL'!BI53="DRP","DRP",IF('MID-FINAL'!BI53="FA","FA",'MID-FINAL'!BI53+N60))</f>
        <v>0</v>
      </c>
      <c r="L60" s="31">
        <f t="shared" si="1"/>
        <v>0</v>
      </c>
      <c r="M60" s="32"/>
      <c r="N60" s="29">
        <v>0</v>
      </c>
      <c r="O60" s="32"/>
      <c r="P60" s="31">
        <f t="shared" si="2"/>
        <v>0</v>
      </c>
      <c r="Q60" s="31" t="e">
        <f xml:space="preserve"> IF(P60="DRP","DRP",VLOOKUP(P60,'GRADE EQUIVALENTS'!$C$8:$D$109,2,TRUE))</f>
        <v>#N/A</v>
      </c>
      <c r="S60" s="67" t="e">
        <f t="shared" si="3"/>
        <v>#N/A</v>
      </c>
      <c r="T60" s="29">
        <f t="shared" si="4"/>
        <v>1</v>
      </c>
      <c r="V60" s="29">
        <v>0</v>
      </c>
    </row>
    <row r="61" spans="2:22" x14ac:dyDescent="0.3">
      <c r="B61" s="28">
        <v>48</v>
      </c>
      <c r="C61" s="29">
        <f>SETTINGS!B57</f>
        <v>0</v>
      </c>
      <c r="D61" s="33">
        <f>SETTINGS!C57</f>
        <v>0</v>
      </c>
      <c r="F61" s="31">
        <f>IF('MID-FINAL'!AG54  = "DRP","DRP",'MID-FINAL'!AG54 + I61)</f>
        <v>0</v>
      </c>
      <c r="G61" s="31">
        <f t="shared" si="0"/>
        <v>0</v>
      </c>
      <c r="H61" s="32"/>
      <c r="I61" s="29">
        <v>0</v>
      </c>
      <c r="J61" s="32"/>
      <c r="K61" s="31">
        <f>IF('MID-FINAL'!BI54="DRP","DRP",IF('MID-FINAL'!BI54="FA","FA",'MID-FINAL'!BI54+N61))</f>
        <v>0</v>
      </c>
      <c r="L61" s="31">
        <f t="shared" si="1"/>
        <v>0</v>
      </c>
      <c r="M61" s="32"/>
      <c r="N61" s="29">
        <v>0</v>
      </c>
      <c r="O61" s="32"/>
      <c r="P61" s="31">
        <f t="shared" si="2"/>
        <v>0</v>
      </c>
      <c r="Q61" s="31" t="e">
        <f xml:space="preserve"> IF(P61="DRP","DRP",VLOOKUP(P61,'GRADE EQUIVALENTS'!$C$8:$D$109,2,TRUE))</f>
        <v>#N/A</v>
      </c>
      <c r="S61" s="67" t="e">
        <f t="shared" si="3"/>
        <v>#N/A</v>
      </c>
      <c r="T61" s="29">
        <f t="shared" si="4"/>
        <v>1</v>
      </c>
      <c r="V61" s="29">
        <v>0</v>
      </c>
    </row>
    <row r="62" spans="2:22" x14ac:dyDescent="0.3">
      <c r="B62" s="28">
        <v>49</v>
      </c>
      <c r="C62" s="29">
        <f>SETTINGS!B58</f>
        <v>0</v>
      </c>
      <c r="D62" s="33">
        <f>SETTINGS!C58</f>
        <v>0</v>
      </c>
      <c r="F62" s="31">
        <f>IF('MID-FINAL'!AG55  = "DRP","DRP",'MID-FINAL'!AG55 + I62)</f>
        <v>0</v>
      </c>
      <c r="G62" s="31">
        <f t="shared" si="0"/>
        <v>0</v>
      </c>
      <c r="H62" s="32"/>
      <c r="I62" s="29">
        <v>0</v>
      </c>
      <c r="J62" s="32"/>
      <c r="K62" s="31">
        <f>IF('MID-FINAL'!BI55="DRP","DRP",IF('MID-FINAL'!BI55="FA","FA",'MID-FINAL'!BI55+N62))</f>
        <v>0</v>
      </c>
      <c r="L62" s="31">
        <f t="shared" si="1"/>
        <v>0</v>
      </c>
      <c r="M62" s="32"/>
      <c r="N62" s="29">
        <v>0</v>
      </c>
      <c r="O62" s="32"/>
      <c r="P62" s="31">
        <f t="shared" si="2"/>
        <v>0</v>
      </c>
      <c r="Q62" s="31" t="e">
        <f xml:space="preserve"> IF(P62="DRP","DRP",VLOOKUP(P62,'GRADE EQUIVALENTS'!$C$8:$D$109,2,TRUE))</f>
        <v>#N/A</v>
      </c>
      <c r="S62" s="67" t="e">
        <f t="shared" si="3"/>
        <v>#N/A</v>
      </c>
      <c r="T62" s="29">
        <f t="shared" si="4"/>
        <v>1</v>
      </c>
      <c r="V62" s="29">
        <v>0</v>
      </c>
    </row>
    <row r="63" spans="2:22" x14ac:dyDescent="0.3">
      <c r="B63" s="28">
        <v>50</v>
      </c>
      <c r="C63" s="29">
        <f>SETTINGS!B59</f>
        <v>0</v>
      </c>
      <c r="D63" s="33">
        <f>SETTINGS!C59</f>
        <v>0</v>
      </c>
      <c r="F63" s="31">
        <f>IF('MID-FINAL'!AG56  = "DRP","DRP",'MID-FINAL'!AG56 + I63)</f>
        <v>0</v>
      </c>
      <c r="G63" s="31">
        <f t="shared" si="0"/>
        <v>0</v>
      </c>
      <c r="H63" s="32"/>
      <c r="I63" s="29">
        <v>0</v>
      </c>
      <c r="J63" s="32"/>
      <c r="K63" s="31">
        <f>IF('MID-FINAL'!BI56="DRP","DRP",IF('MID-FINAL'!BI56="FA","FA",'MID-FINAL'!BI56+N63))</f>
        <v>0</v>
      </c>
      <c r="L63" s="31">
        <f t="shared" si="1"/>
        <v>0</v>
      </c>
      <c r="M63" s="32"/>
      <c r="N63" s="29">
        <v>0</v>
      </c>
      <c r="O63" s="32"/>
      <c r="P63" s="31">
        <f t="shared" si="2"/>
        <v>0</v>
      </c>
      <c r="Q63" s="31" t="e">
        <f xml:space="preserve"> IF(P63="DRP","DRP",VLOOKUP(P63,'GRADE EQUIVALENTS'!$C$8:$D$109,2,TRUE))</f>
        <v>#N/A</v>
      </c>
      <c r="S63" s="67" t="e">
        <f t="shared" si="3"/>
        <v>#N/A</v>
      </c>
      <c r="T63" s="29">
        <f t="shared" si="4"/>
        <v>1</v>
      </c>
      <c r="V63" s="29">
        <v>0</v>
      </c>
    </row>
    <row r="64" spans="2:22" x14ac:dyDescent="0.3">
      <c r="B64" s="28">
        <v>51</v>
      </c>
      <c r="C64" s="29">
        <f>SETTINGS!B60</f>
        <v>0</v>
      </c>
      <c r="D64" s="33">
        <f>SETTINGS!C60</f>
        <v>0</v>
      </c>
      <c r="F64" s="31">
        <f>IF('MID-FINAL'!AG57  = "DRP","DRP",'MID-FINAL'!AG57 + I64)</f>
        <v>0</v>
      </c>
      <c r="G64" s="31">
        <f t="shared" si="0"/>
        <v>0</v>
      </c>
      <c r="H64" s="32"/>
      <c r="I64" s="29">
        <v>0</v>
      </c>
      <c r="J64" s="32"/>
      <c r="K64" s="31">
        <f>IF('MID-FINAL'!BI57="DRP","DRP",IF('MID-FINAL'!BI57="FA","FA",'MID-FINAL'!BI57+N64))</f>
        <v>0</v>
      </c>
      <c r="L64" s="31">
        <f t="shared" si="1"/>
        <v>0</v>
      </c>
      <c r="M64" s="32"/>
      <c r="N64" s="29">
        <v>0</v>
      </c>
      <c r="O64" s="32"/>
      <c r="P64" s="31">
        <f t="shared" si="2"/>
        <v>0</v>
      </c>
      <c r="Q64" s="31" t="e">
        <f xml:space="preserve"> IF(P64="DRP","DRP",VLOOKUP(P64,'GRADE EQUIVALENTS'!$C$8:$D$109,2,TRUE))</f>
        <v>#N/A</v>
      </c>
      <c r="S64" s="67" t="e">
        <f t="shared" si="3"/>
        <v>#N/A</v>
      </c>
      <c r="T64" s="29">
        <f t="shared" si="4"/>
        <v>1</v>
      </c>
      <c r="V64" s="29">
        <v>0</v>
      </c>
    </row>
    <row r="65" spans="2:22" x14ac:dyDescent="0.3">
      <c r="B65" s="28">
        <v>52</v>
      </c>
      <c r="C65" s="29">
        <f>SETTINGS!B61</f>
        <v>0</v>
      </c>
      <c r="D65" s="33">
        <f>SETTINGS!C61</f>
        <v>0</v>
      </c>
      <c r="F65" s="31">
        <f>IF('MID-FINAL'!AG58  = "DRP","DRP",'MID-FINAL'!AG58 + I65)</f>
        <v>0</v>
      </c>
      <c r="G65" s="31">
        <f t="shared" si="0"/>
        <v>0</v>
      </c>
      <c r="H65" s="32"/>
      <c r="I65" s="29">
        <v>0</v>
      </c>
      <c r="J65" s="32"/>
      <c r="K65" s="31">
        <f>IF('MID-FINAL'!BI58="DRP","DRP",IF('MID-FINAL'!BI58="FA","FA",'MID-FINAL'!BI58+N65))</f>
        <v>0</v>
      </c>
      <c r="L65" s="31">
        <f t="shared" si="1"/>
        <v>0</v>
      </c>
      <c r="M65" s="32"/>
      <c r="N65" s="29">
        <v>0</v>
      </c>
      <c r="O65" s="32"/>
      <c r="P65" s="31">
        <f t="shared" si="2"/>
        <v>0</v>
      </c>
      <c r="Q65" s="31" t="e">
        <f xml:space="preserve"> IF(P65="DRP","DRP",VLOOKUP(P65,'GRADE EQUIVALENTS'!$C$8:$D$109,2,TRUE))</f>
        <v>#N/A</v>
      </c>
      <c r="S65" s="67" t="e">
        <f t="shared" si="3"/>
        <v>#N/A</v>
      </c>
      <c r="T65" s="29">
        <f t="shared" si="4"/>
        <v>1</v>
      </c>
      <c r="V65" s="29">
        <v>0</v>
      </c>
    </row>
    <row r="66" spans="2:22" x14ac:dyDescent="0.3">
      <c r="B66" s="28">
        <v>53</v>
      </c>
      <c r="C66" s="29">
        <f>SETTINGS!B62</f>
        <v>0</v>
      </c>
      <c r="D66" s="33">
        <f>SETTINGS!C62</f>
        <v>0</v>
      </c>
      <c r="F66" s="31">
        <f>IF('MID-FINAL'!AG59  = "DRP","DRP",'MID-FINAL'!AG59 + I66)</f>
        <v>0</v>
      </c>
      <c r="G66" s="31">
        <f t="shared" si="0"/>
        <v>0</v>
      </c>
      <c r="H66" s="32"/>
      <c r="I66" s="29">
        <v>0</v>
      </c>
      <c r="J66" s="32"/>
      <c r="K66" s="31">
        <f>IF('MID-FINAL'!BI59="DRP","DRP",IF('MID-FINAL'!BI59="FA","FA",'MID-FINAL'!BI59+N66))</f>
        <v>0</v>
      </c>
      <c r="L66" s="31">
        <f t="shared" si="1"/>
        <v>0</v>
      </c>
      <c r="M66" s="32"/>
      <c r="N66" s="29">
        <v>0</v>
      </c>
      <c r="O66" s="32"/>
      <c r="P66" s="31">
        <f t="shared" si="2"/>
        <v>0</v>
      </c>
      <c r="Q66" s="31" t="e">
        <f xml:space="preserve"> IF(P66="DRP","DRP",VLOOKUP(P66,'GRADE EQUIVALENTS'!$C$8:$D$109,2,TRUE))</f>
        <v>#N/A</v>
      </c>
      <c r="S66" s="67" t="e">
        <f t="shared" si="3"/>
        <v>#N/A</v>
      </c>
      <c r="T66" s="29">
        <f t="shared" si="4"/>
        <v>1</v>
      </c>
      <c r="V66" s="29">
        <v>0</v>
      </c>
    </row>
    <row r="67" spans="2:22" x14ac:dyDescent="0.3">
      <c r="B67" s="28">
        <v>54</v>
      </c>
      <c r="C67" s="29">
        <f>SETTINGS!B63</f>
        <v>0</v>
      </c>
      <c r="D67" s="33">
        <f>SETTINGS!C63</f>
        <v>0</v>
      </c>
      <c r="F67" s="31">
        <f>IF('MID-FINAL'!AG60  = "DRP","DRP",'MID-FINAL'!AG60 + I67)</f>
        <v>0</v>
      </c>
      <c r="G67" s="31">
        <f t="shared" si="0"/>
        <v>0</v>
      </c>
      <c r="H67" s="32"/>
      <c r="I67" s="29">
        <v>0</v>
      </c>
      <c r="J67" s="32"/>
      <c r="K67" s="31">
        <f>IF('MID-FINAL'!BI60="DRP","DRP",IF('MID-FINAL'!BI60="FA","FA",'MID-FINAL'!BI60+N67))</f>
        <v>0</v>
      </c>
      <c r="L67" s="31">
        <f t="shared" si="1"/>
        <v>0</v>
      </c>
      <c r="M67" s="32"/>
      <c r="N67" s="29">
        <v>0</v>
      </c>
      <c r="O67" s="32"/>
      <c r="P67" s="31">
        <f t="shared" si="2"/>
        <v>0</v>
      </c>
      <c r="Q67" s="31" t="e">
        <f xml:space="preserve"> IF(P67="DRP","DRP",VLOOKUP(P67,'GRADE EQUIVALENTS'!$C$8:$D$109,2,TRUE))</f>
        <v>#N/A</v>
      </c>
      <c r="S67" s="67" t="e">
        <f t="shared" si="3"/>
        <v>#N/A</v>
      </c>
      <c r="T67" s="29">
        <f t="shared" si="4"/>
        <v>1</v>
      </c>
      <c r="V67" s="29">
        <v>0</v>
      </c>
    </row>
    <row r="68" spans="2:22" x14ac:dyDescent="0.3">
      <c r="B68" s="28">
        <v>55</v>
      </c>
      <c r="C68" s="29">
        <f>SETTINGS!B64</f>
        <v>0</v>
      </c>
      <c r="D68" s="33">
        <f>SETTINGS!C64</f>
        <v>0</v>
      </c>
      <c r="F68" s="31">
        <f>IF('MID-FINAL'!AG61  = "DRP","DRP",'MID-FINAL'!AG61 + I68)</f>
        <v>0</v>
      </c>
      <c r="G68" s="31">
        <f t="shared" si="0"/>
        <v>0</v>
      </c>
      <c r="H68" s="32"/>
      <c r="I68" s="29">
        <v>0</v>
      </c>
      <c r="J68" s="32"/>
      <c r="K68" s="31">
        <f>IF('MID-FINAL'!BI61="DRP","DRP",IF('MID-FINAL'!BI61="FA","FA",'MID-FINAL'!BI61+N68))</f>
        <v>0</v>
      </c>
      <c r="L68" s="31">
        <f t="shared" si="1"/>
        <v>0</v>
      </c>
      <c r="M68" s="32"/>
      <c r="N68" s="29">
        <v>0</v>
      </c>
      <c r="O68" s="32"/>
      <c r="P68" s="31">
        <f t="shared" si="2"/>
        <v>0</v>
      </c>
      <c r="Q68" s="31" t="e">
        <f xml:space="preserve"> IF(P68="DRP","DRP",VLOOKUP(P68,'GRADE EQUIVALENTS'!$C$8:$D$109,2,TRUE))</f>
        <v>#N/A</v>
      </c>
      <c r="S68" s="67" t="e">
        <f t="shared" si="3"/>
        <v>#N/A</v>
      </c>
      <c r="T68" s="29">
        <f t="shared" si="4"/>
        <v>1</v>
      </c>
      <c r="V68" s="29">
        <v>0</v>
      </c>
    </row>
    <row r="69" spans="2:22" x14ac:dyDescent="0.3">
      <c r="B69" s="28">
        <v>56</v>
      </c>
      <c r="C69" s="29">
        <f>SETTINGS!B65</f>
        <v>0</v>
      </c>
      <c r="D69" s="33">
        <f>SETTINGS!C65</f>
        <v>0</v>
      </c>
      <c r="F69" s="31">
        <f>IF('MID-FINAL'!AG62  = "DRP","DRP",'MID-FINAL'!AG62 + I69)</f>
        <v>0</v>
      </c>
      <c r="G69" s="31">
        <f t="shared" si="0"/>
        <v>0</v>
      </c>
      <c r="H69" s="32"/>
      <c r="I69" s="29">
        <v>0</v>
      </c>
      <c r="J69" s="32"/>
      <c r="K69" s="31">
        <f>IF('MID-FINAL'!BI62="DRP","DRP",IF('MID-FINAL'!BI62="FA","FA",'MID-FINAL'!BI62+N69))</f>
        <v>0</v>
      </c>
      <c r="L69" s="31">
        <f t="shared" si="1"/>
        <v>0</v>
      </c>
      <c r="M69" s="32"/>
      <c r="N69" s="29">
        <v>0</v>
      </c>
      <c r="O69" s="32"/>
      <c r="P69" s="31">
        <f t="shared" si="2"/>
        <v>0</v>
      </c>
      <c r="Q69" s="31" t="e">
        <f xml:space="preserve"> IF(P69="DRP","DRP",VLOOKUP(P69,'GRADE EQUIVALENTS'!$C$8:$D$109,2,TRUE))</f>
        <v>#N/A</v>
      </c>
      <c r="S69" s="67" t="e">
        <f t="shared" si="3"/>
        <v>#N/A</v>
      </c>
      <c r="T69" s="29">
        <f t="shared" si="4"/>
        <v>1</v>
      </c>
      <c r="V69" s="29">
        <v>0</v>
      </c>
    </row>
    <row r="70" spans="2:22" x14ac:dyDescent="0.3">
      <c r="B70" s="28">
        <v>57</v>
      </c>
      <c r="C70" s="29">
        <f>SETTINGS!B66</f>
        <v>0</v>
      </c>
      <c r="D70" s="33">
        <f>SETTINGS!C66</f>
        <v>0</v>
      </c>
      <c r="F70" s="31">
        <f>IF('MID-FINAL'!AG63  = "DRP","DRP",'MID-FINAL'!AG63 + I70)</f>
        <v>0</v>
      </c>
      <c r="G70" s="31">
        <f t="shared" si="0"/>
        <v>0</v>
      </c>
      <c r="H70" s="32"/>
      <c r="I70" s="29">
        <v>0</v>
      </c>
      <c r="J70" s="32"/>
      <c r="K70" s="31">
        <f>IF('MID-FINAL'!BI63="DRP","DRP",IF('MID-FINAL'!BI63="FA","FA",'MID-FINAL'!BI63+N70))</f>
        <v>0</v>
      </c>
      <c r="L70" s="31">
        <f t="shared" si="1"/>
        <v>0</v>
      </c>
      <c r="M70" s="32"/>
      <c r="N70" s="29">
        <v>0</v>
      </c>
      <c r="O70" s="32"/>
      <c r="P70" s="31">
        <f t="shared" si="2"/>
        <v>0</v>
      </c>
      <c r="Q70" s="31" t="e">
        <f xml:space="preserve"> IF(P70="DRP","DRP",VLOOKUP(P70,'GRADE EQUIVALENTS'!$C$8:$D$109,2,TRUE))</f>
        <v>#N/A</v>
      </c>
      <c r="S70" s="67" t="e">
        <f t="shared" si="3"/>
        <v>#N/A</v>
      </c>
      <c r="T70" s="29">
        <f t="shared" si="4"/>
        <v>1</v>
      </c>
      <c r="V70" s="29">
        <v>0</v>
      </c>
    </row>
    <row r="71" spans="2:22" x14ac:dyDescent="0.3">
      <c r="B71" s="28">
        <v>58</v>
      </c>
      <c r="C71" s="29">
        <f>SETTINGS!B67</f>
        <v>0</v>
      </c>
      <c r="D71" s="33">
        <f>SETTINGS!C67</f>
        <v>0</v>
      </c>
      <c r="F71" s="31">
        <f>IF('MID-FINAL'!AG64  = "DRP","DRP",'MID-FINAL'!AG64 + I71)</f>
        <v>0</v>
      </c>
      <c r="G71" s="31">
        <f t="shared" si="0"/>
        <v>0</v>
      </c>
      <c r="H71" s="32"/>
      <c r="I71" s="29">
        <v>0</v>
      </c>
      <c r="J71" s="32"/>
      <c r="K71" s="31">
        <f>IF('MID-FINAL'!BI64="DRP","DRP",IF('MID-FINAL'!BI64="FA","FA",'MID-FINAL'!BI64+N71))</f>
        <v>0</v>
      </c>
      <c r="L71" s="31">
        <f t="shared" si="1"/>
        <v>0</v>
      </c>
      <c r="M71" s="32"/>
      <c r="N71" s="29">
        <v>0</v>
      </c>
      <c r="O71" s="32"/>
      <c r="P71" s="31">
        <f t="shared" si="2"/>
        <v>0</v>
      </c>
      <c r="Q71" s="31" t="e">
        <f xml:space="preserve"> IF(P71="DRP","DRP",VLOOKUP(P71,'GRADE EQUIVALENTS'!$C$8:$D$109,2,TRUE))</f>
        <v>#N/A</v>
      </c>
      <c r="S71" s="67" t="e">
        <f t="shared" si="3"/>
        <v>#N/A</v>
      </c>
      <c r="T71" s="29">
        <f t="shared" si="4"/>
        <v>1</v>
      </c>
      <c r="V71" s="29">
        <v>0</v>
      </c>
    </row>
    <row r="72" spans="2:22" x14ac:dyDescent="0.3">
      <c r="B72" s="28">
        <v>59</v>
      </c>
      <c r="C72" s="29">
        <f>SETTINGS!B68</f>
        <v>0</v>
      </c>
      <c r="D72" s="33">
        <f>SETTINGS!C68</f>
        <v>0</v>
      </c>
      <c r="F72" s="31">
        <f>IF('MID-FINAL'!AG65  = "DRP","DRP",'MID-FINAL'!AG65 + I72)</f>
        <v>0</v>
      </c>
      <c r="G72" s="31">
        <f t="shared" si="0"/>
        <v>0</v>
      </c>
      <c r="H72" s="32"/>
      <c r="I72" s="29">
        <v>0</v>
      </c>
      <c r="J72" s="32"/>
      <c r="K72" s="31">
        <f>IF('MID-FINAL'!BI65="DRP","DRP",IF('MID-FINAL'!BI65="FA","FA",'MID-FINAL'!BI65+N72))</f>
        <v>0</v>
      </c>
      <c r="L72" s="31">
        <f t="shared" si="1"/>
        <v>0</v>
      </c>
      <c r="M72" s="32"/>
      <c r="N72" s="29">
        <v>0</v>
      </c>
      <c r="O72" s="32"/>
      <c r="P72" s="31">
        <f t="shared" si="2"/>
        <v>0</v>
      </c>
      <c r="Q72" s="31" t="e">
        <f xml:space="preserve"> IF(P72="DRP","DRP",VLOOKUP(P72,'GRADE EQUIVALENTS'!$C$8:$D$109,2,TRUE))</f>
        <v>#N/A</v>
      </c>
      <c r="S72" s="67" t="e">
        <f t="shared" si="3"/>
        <v>#N/A</v>
      </c>
      <c r="T72" s="29">
        <f t="shared" si="4"/>
        <v>1</v>
      </c>
      <c r="V72" s="29">
        <v>0</v>
      </c>
    </row>
    <row r="73" spans="2:22" x14ac:dyDescent="0.3">
      <c r="B73" s="28">
        <v>60</v>
      </c>
      <c r="C73" s="29">
        <f>SETTINGS!B69</f>
        <v>0</v>
      </c>
      <c r="D73" s="33">
        <f>SETTINGS!C69</f>
        <v>0</v>
      </c>
      <c r="F73" s="31">
        <f>IF('MID-FINAL'!AG66  = "DRP","DRP",'MID-FINAL'!AG66 + I73)</f>
        <v>0</v>
      </c>
      <c r="G73" s="31">
        <f t="shared" si="0"/>
        <v>0</v>
      </c>
      <c r="H73" s="32"/>
      <c r="I73" s="29">
        <v>0</v>
      </c>
      <c r="J73" s="32"/>
      <c r="K73" s="31">
        <f>IF('MID-FINAL'!BI66="DRP","DRP",IF('MID-FINAL'!BI66="FA","FA",'MID-FINAL'!BI66+N73))</f>
        <v>0</v>
      </c>
      <c r="L73" s="31">
        <f t="shared" si="1"/>
        <v>0</v>
      </c>
      <c r="M73" s="32"/>
      <c r="N73" s="29">
        <v>0</v>
      </c>
      <c r="O73" s="32"/>
      <c r="P73" s="31">
        <f t="shared" si="2"/>
        <v>0</v>
      </c>
      <c r="Q73" s="31" t="e">
        <f xml:space="preserve"> IF(P73="DRP","DRP",VLOOKUP(P73,'GRADE EQUIVALENTS'!$C$8:$D$109,2,TRUE))</f>
        <v>#N/A</v>
      </c>
      <c r="S73" s="67" t="e">
        <f t="shared" si="3"/>
        <v>#N/A</v>
      </c>
      <c r="T73" s="29">
        <f t="shared" si="4"/>
        <v>1</v>
      </c>
      <c r="V73" s="29">
        <v>0</v>
      </c>
    </row>
    <row r="74" spans="2:22" x14ac:dyDescent="0.3">
      <c r="B74" s="28">
        <v>61</v>
      </c>
      <c r="C74" s="29">
        <f>SETTINGS!B70</f>
        <v>0</v>
      </c>
      <c r="D74" s="33">
        <f>SETTINGS!C70</f>
        <v>0</v>
      </c>
      <c r="F74" s="31">
        <f>IF('MID-FINAL'!AG67  = "DRP","DRP",'MID-FINAL'!AG67 + I74)</f>
        <v>0</v>
      </c>
      <c r="G74" s="31">
        <f t="shared" ref="G74:G84" si="5">IF(F74="DRP","DRP",IF(F74="FA", "FA",F74*0.5))</f>
        <v>0</v>
      </c>
      <c r="H74" s="32"/>
      <c r="I74" s="29">
        <v>0</v>
      </c>
      <c r="J74" s="32"/>
      <c r="K74" s="31">
        <f>IF('MID-FINAL'!BI67="DRP","DRP",IF('MID-FINAL'!BI67="FA","FA",'MID-FINAL'!BI67+N74))</f>
        <v>0</v>
      </c>
      <c r="L74" s="31">
        <f t="shared" ref="L74:L84" si="6">IF(K74="DRP","DRP",IF(K74="FA", "FA",K74*0.5))</f>
        <v>0</v>
      </c>
      <c r="M74" s="32"/>
      <c r="N74" s="29">
        <v>0</v>
      </c>
      <c r="O74" s="32"/>
      <c r="P74" s="31">
        <f t="shared" ref="P74:P84" si="7">IF(F74="DRP","DRP",IF(K74="DRP","DRP",IF(F74="FA","FA",IF(K74="FA","FA",ROUND(L74+G74+V74,0)))))</f>
        <v>0</v>
      </c>
      <c r="Q74" s="31" t="e">
        <f xml:space="preserve"> IF(P74="DRP","DRP",VLOOKUP(P74,'GRADE EQUIVALENTS'!$C$8:$D$109,2,TRUE))</f>
        <v>#N/A</v>
      </c>
      <c r="S74" s="67" t="e">
        <f t="shared" ref="S74:S84" si="8">IF(Q74=5,"FAILED",IF(Q74="DRP","DROPPED","PASSED"))</f>
        <v>#N/A</v>
      </c>
      <c r="T74" s="29">
        <f t="shared" si="4"/>
        <v>1</v>
      </c>
      <c r="V74" s="29">
        <v>0</v>
      </c>
    </row>
    <row r="75" spans="2:22" x14ac:dyDescent="0.3">
      <c r="B75" s="28">
        <v>62</v>
      </c>
      <c r="C75" s="29">
        <f>SETTINGS!B71</f>
        <v>0</v>
      </c>
      <c r="D75" s="33">
        <f>SETTINGS!C71</f>
        <v>0</v>
      </c>
      <c r="F75" s="31">
        <f>IF('MID-FINAL'!AG68  = "DRP","DRP",'MID-FINAL'!AG68 + I75)</f>
        <v>0</v>
      </c>
      <c r="G75" s="31">
        <f t="shared" si="5"/>
        <v>0</v>
      </c>
      <c r="H75" s="32"/>
      <c r="I75" s="29">
        <v>0</v>
      </c>
      <c r="J75" s="32"/>
      <c r="K75" s="31">
        <f>IF('MID-FINAL'!BI68="DRP","DRP",IF('MID-FINAL'!BI68="FA","FA",'MID-FINAL'!BI68+N75))</f>
        <v>0</v>
      </c>
      <c r="L75" s="31">
        <f t="shared" si="6"/>
        <v>0</v>
      </c>
      <c r="M75" s="32"/>
      <c r="N75" s="29">
        <v>0</v>
      </c>
      <c r="O75" s="32"/>
      <c r="P75" s="31">
        <f t="shared" si="7"/>
        <v>0</v>
      </c>
      <c r="Q75" s="31" t="e">
        <f xml:space="preserve"> IF(P75="DRP","DRP",VLOOKUP(P75,'GRADE EQUIVALENTS'!$C$8:$D$109,2,TRUE))</f>
        <v>#N/A</v>
      </c>
      <c r="S75" s="67" t="e">
        <f t="shared" si="8"/>
        <v>#N/A</v>
      </c>
      <c r="T75" s="29">
        <f t="shared" si="4"/>
        <v>1</v>
      </c>
      <c r="V75" s="29">
        <v>0</v>
      </c>
    </row>
    <row r="76" spans="2:22" x14ac:dyDescent="0.3">
      <c r="B76" s="28">
        <v>63</v>
      </c>
      <c r="C76" s="29">
        <f>SETTINGS!B72</f>
        <v>0</v>
      </c>
      <c r="D76" s="33">
        <f>SETTINGS!C72</f>
        <v>0</v>
      </c>
      <c r="F76" s="31">
        <f>IF('MID-FINAL'!AG69  = "DRP","DRP",'MID-FINAL'!AG69 + I76)</f>
        <v>0</v>
      </c>
      <c r="G76" s="31">
        <f t="shared" si="5"/>
        <v>0</v>
      </c>
      <c r="H76" s="32"/>
      <c r="I76" s="29">
        <v>0</v>
      </c>
      <c r="J76" s="32"/>
      <c r="K76" s="31">
        <f>IF('MID-FINAL'!BI69="DRP","DRP",IF('MID-FINAL'!BI69="FA","FA",'MID-FINAL'!BI69+N76))</f>
        <v>0</v>
      </c>
      <c r="L76" s="31">
        <f t="shared" si="6"/>
        <v>0</v>
      </c>
      <c r="M76" s="32"/>
      <c r="N76" s="29">
        <v>0</v>
      </c>
      <c r="O76" s="32"/>
      <c r="P76" s="31">
        <f t="shared" si="7"/>
        <v>0</v>
      </c>
      <c r="Q76" s="31" t="e">
        <f xml:space="preserve"> IF(P76="DRP","DRP",VLOOKUP(P76,'GRADE EQUIVALENTS'!$C$8:$D$109,2,TRUE))</f>
        <v>#N/A</v>
      </c>
      <c r="S76" s="67" t="e">
        <f t="shared" si="8"/>
        <v>#N/A</v>
      </c>
      <c r="T76" s="29">
        <f t="shared" si="4"/>
        <v>1</v>
      </c>
      <c r="V76" s="29">
        <v>0</v>
      </c>
    </row>
    <row r="77" spans="2:22" x14ac:dyDescent="0.3">
      <c r="B77" s="28">
        <v>64</v>
      </c>
      <c r="C77" s="29">
        <f>SETTINGS!B73</f>
        <v>0</v>
      </c>
      <c r="D77" s="33">
        <f>SETTINGS!C73</f>
        <v>0</v>
      </c>
      <c r="F77" s="31">
        <f>IF('MID-FINAL'!AG70  = "DRP","DRP",'MID-FINAL'!AG70 + I77)</f>
        <v>0</v>
      </c>
      <c r="G77" s="31">
        <f t="shared" si="5"/>
        <v>0</v>
      </c>
      <c r="H77" s="32"/>
      <c r="I77" s="29">
        <v>0</v>
      </c>
      <c r="J77" s="32"/>
      <c r="K77" s="31">
        <f>IF('MID-FINAL'!BI70="DRP","DRP",IF('MID-FINAL'!BI70="FA","FA",'MID-FINAL'!BI70+N77))</f>
        <v>0</v>
      </c>
      <c r="L77" s="31">
        <f t="shared" si="6"/>
        <v>0</v>
      </c>
      <c r="M77" s="32"/>
      <c r="N77" s="29">
        <v>0</v>
      </c>
      <c r="O77" s="32"/>
      <c r="P77" s="31">
        <f t="shared" si="7"/>
        <v>0</v>
      </c>
      <c r="Q77" s="31" t="e">
        <f xml:space="preserve"> IF(P77="DRP","DRP",VLOOKUP(P77,'GRADE EQUIVALENTS'!$C$8:$D$109,2,TRUE))</f>
        <v>#N/A</v>
      </c>
      <c r="S77" s="67" t="e">
        <f t="shared" si="8"/>
        <v>#N/A</v>
      </c>
      <c r="T77" s="29">
        <f t="shared" si="4"/>
        <v>1</v>
      </c>
      <c r="V77" s="29">
        <v>0</v>
      </c>
    </row>
    <row r="78" spans="2:22" x14ac:dyDescent="0.3">
      <c r="B78" s="28">
        <v>65</v>
      </c>
      <c r="C78" s="29">
        <f>SETTINGS!B74</f>
        <v>0</v>
      </c>
      <c r="D78" s="33">
        <f>SETTINGS!C74</f>
        <v>0</v>
      </c>
      <c r="F78" s="31">
        <f>IF('MID-FINAL'!AG71  = "DRP","DRP",'MID-FINAL'!AG71 + I78)</f>
        <v>0</v>
      </c>
      <c r="G78" s="31">
        <f t="shared" si="5"/>
        <v>0</v>
      </c>
      <c r="H78" s="32"/>
      <c r="I78" s="29">
        <v>0</v>
      </c>
      <c r="J78" s="32"/>
      <c r="K78" s="31">
        <f>IF('MID-FINAL'!BI71="DRP","DRP",IF('MID-FINAL'!BI71="FA","FA",'MID-FINAL'!BI71+N78))</f>
        <v>0</v>
      </c>
      <c r="L78" s="31">
        <f t="shared" si="6"/>
        <v>0</v>
      </c>
      <c r="M78" s="32"/>
      <c r="N78" s="29">
        <v>0</v>
      </c>
      <c r="O78" s="32"/>
      <c r="P78" s="31">
        <f t="shared" si="7"/>
        <v>0</v>
      </c>
      <c r="Q78" s="31" t="e">
        <f xml:space="preserve"> IF(P78="DRP","DRP",VLOOKUP(P78,'GRADE EQUIVALENTS'!$C$8:$D$109,2,TRUE))</f>
        <v>#N/A</v>
      </c>
      <c r="S78" s="67" t="e">
        <f t="shared" si="8"/>
        <v>#N/A</v>
      </c>
      <c r="T78" s="29">
        <f t="shared" si="4"/>
        <v>1</v>
      </c>
      <c r="V78" s="29">
        <v>0</v>
      </c>
    </row>
    <row r="79" spans="2:22" x14ac:dyDescent="0.3">
      <c r="B79" s="28">
        <v>66</v>
      </c>
      <c r="C79" s="29">
        <f>SETTINGS!B75</f>
        <v>0</v>
      </c>
      <c r="D79" s="33">
        <f>SETTINGS!C75</f>
        <v>0</v>
      </c>
      <c r="F79" s="31">
        <f>IF('MID-FINAL'!AG72  = "DRP","DRP",'MID-FINAL'!AG72 + I79)</f>
        <v>0</v>
      </c>
      <c r="G79" s="31">
        <f t="shared" si="5"/>
        <v>0</v>
      </c>
      <c r="H79" s="32"/>
      <c r="I79" s="29">
        <v>0</v>
      </c>
      <c r="J79" s="32"/>
      <c r="K79" s="31">
        <f>IF('MID-FINAL'!BI72="DRP","DRP",IF('MID-FINAL'!BI72="FA","FA",'MID-FINAL'!BI72+N79))</f>
        <v>0</v>
      </c>
      <c r="L79" s="31">
        <f t="shared" si="6"/>
        <v>0</v>
      </c>
      <c r="M79" s="32"/>
      <c r="N79" s="29">
        <v>0</v>
      </c>
      <c r="O79" s="32"/>
      <c r="P79" s="31">
        <f t="shared" si="7"/>
        <v>0</v>
      </c>
      <c r="Q79" s="31" t="e">
        <f xml:space="preserve"> IF(P79="DRP","DRP",VLOOKUP(P79,'GRADE EQUIVALENTS'!$C$8:$D$109,2,TRUE))</f>
        <v>#N/A</v>
      </c>
      <c r="S79" s="67" t="e">
        <f t="shared" si="8"/>
        <v>#N/A</v>
      </c>
      <c r="T79" s="29">
        <f t="shared" ref="T79:T89" si="9">RANK(P79,$P$14:$P$89)</f>
        <v>1</v>
      </c>
      <c r="V79" s="29">
        <v>0</v>
      </c>
    </row>
    <row r="80" spans="2:22" x14ac:dyDescent="0.3">
      <c r="B80" s="28">
        <v>67</v>
      </c>
      <c r="C80" s="29">
        <f>SETTINGS!B76</f>
        <v>0</v>
      </c>
      <c r="D80" s="33">
        <f>SETTINGS!C76</f>
        <v>0</v>
      </c>
      <c r="F80" s="31">
        <f>IF('MID-FINAL'!AG73  = "DRP","DRP",'MID-FINAL'!AG73 + I80)</f>
        <v>0</v>
      </c>
      <c r="G80" s="31">
        <f t="shared" si="5"/>
        <v>0</v>
      </c>
      <c r="H80" s="32"/>
      <c r="I80" s="29">
        <v>0</v>
      </c>
      <c r="J80" s="32"/>
      <c r="K80" s="31">
        <f>IF('MID-FINAL'!BI73="DRP","DRP",IF('MID-FINAL'!BI73="FA","FA",'MID-FINAL'!BI73+N80))</f>
        <v>0</v>
      </c>
      <c r="L80" s="31">
        <f t="shared" si="6"/>
        <v>0</v>
      </c>
      <c r="M80" s="32"/>
      <c r="N80" s="29">
        <v>0</v>
      </c>
      <c r="O80" s="32"/>
      <c r="P80" s="31">
        <f t="shared" si="7"/>
        <v>0</v>
      </c>
      <c r="Q80" s="31" t="e">
        <f xml:space="preserve"> IF(P80="DRP","DRP",VLOOKUP(P80,'GRADE EQUIVALENTS'!$C$8:$D$109,2,TRUE))</f>
        <v>#N/A</v>
      </c>
      <c r="S80" s="67" t="e">
        <f t="shared" si="8"/>
        <v>#N/A</v>
      </c>
      <c r="T80" s="29">
        <f t="shared" si="9"/>
        <v>1</v>
      </c>
      <c r="V80" s="29">
        <v>0</v>
      </c>
    </row>
    <row r="81" spans="2:22" x14ac:dyDescent="0.3">
      <c r="B81" s="28">
        <v>68</v>
      </c>
      <c r="C81" s="29">
        <f>SETTINGS!B77</f>
        <v>0</v>
      </c>
      <c r="D81" s="33">
        <f>SETTINGS!C77</f>
        <v>0</v>
      </c>
      <c r="F81" s="31">
        <f>IF('MID-FINAL'!AG74  = "DRP","DRP",'MID-FINAL'!AG74 + I81)</f>
        <v>0</v>
      </c>
      <c r="G81" s="31">
        <f t="shared" si="5"/>
        <v>0</v>
      </c>
      <c r="H81" s="32"/>
      <c r="I81" s="29">
        <v>0</v>
      </c>
      <c r="J81" s="32"/>
      <c r="K81" s="31">
        <f>IF('MID-FINAL'!BI74="DRP","DRP",IF('MID-FINAL'!BI74="FA","FA",'MID-FINAL'!BI74+N81))</f>
        <v>0</v>
      </c>
      <c r="L81" s="31">
        <f t="shared" si="6"/>
        <v>0</v>
      </c>
      <c r="M81" s="32"/>
      <c r="N81" s="29">
        <v>0</v>
      </c>
      <c r="O81" s="32"/>
      <c r="P81" s="31">
        <f t="shared" si="7"/>
        <v>0</v>
      </c>
      <c r="Q81" s="31" t="e">
        <f xml:space="preserve"> IF(P81="DRP","DRP",VLOOKUP(P81,'GRADE EQUIVALENTS'!$C$8:$D$109,2,TRUE))</f>
        <v>#N/A</v>
      </c>
      <c r="S81" s="67" t="e">
        <f t="shared" si="8"/>
        <v>#N/A</v>
      </c>
      <c r="T81" s="29">
        <f t="shared" si="9"/>
        <v>1</v>
      </c>
      <c r="V81" s="29">
        <v>0</v>
      </c>
    </row>
    <row r="82" spans="2:22" x14ac:dyDescent="0.3">
      <c r="B82" s="28">
        <v>69</v>
      </c>
      <c r="C82" s="29">
        <f>SETTINGS!B78</f>
        <v>0</v>
      </c>
      <c r="D82" s="33">
        <f>SETTINGS!C78</f>
        <v>0</v>
      </c>
      <c r="F82" s="31">
        <f>IF('MID-FINAL'!AG75  = "DRP","DRP",'MID-FINAL'!AG75 + I82)</f>
        <v>0</v>
      </c>
      <c r="G82" s="31">
        <f t="shared" si="5"/>
        <v>0</v>
      </c>
      <c r="H82" s="32"/>
      <c r="I82" s="29">
        <v>0</v>
      </c>
      <c r="J82" s="32"/>
      <c r="K82" s="31">
        <f>IF('MID-FINAL'!BI75="DRP","DRP",IF('MID-FINAL'!BI75="FA","FA",'MID-FINAL'!BI75+N82))</f>
        <v>0</v>
      </c>
      <c r="L82" s="31">
        <f t="shared" si="6"/>
        <v>0</v>
      </c>
      <c r="M82" s="32"/>
      <c r="N82" s="29">
        <v>0</v>
      </c>
      <c r="O82" s="32"/>
      <c r="P82" s="31">
        <f t="shared" si="7"/>
        <v>0</v>
      </c>
      <c r="Q82" s="31" t="e">
        <f xml:space="preserve"> IF(P82="DRP","DRP",VLOOKUP(P82,'GRADE EQUIVALENTS'!$C$8:$D$109,2,TRUE))</f>
        <v>#N/A</v>
      </c>
      <c r="S82" s="67" t="e">
        <f t="shared" si="8"/>
        <v>#N/A</v>
      </c>
      <c r="T82" s="29">
        <f t="shared" si="9"/>
        <v>1</v>
      </c>
      <c r="V82" s="29">
        <v>0</v>
      </c>
    </row>
    <row r="83" spans="2:22" x14ac:dyDescent="0.3">
      <c r="B83" s="28">
        <v>70</v>
      </c>
      <c r="C83" s="29">
        <f>SETTINGS!B79</f>
        <v>0</v>
      </c>
      <c r="D83" s="33">
        <f>SETTINGS!C79</f>
        <v>0</v>
      </c>
      <c r="F83" s="31">
        <f>IF('MID-FINAL'!AG76  = "DRP","DRP",'MID-FINAL'!AG76 + I83)</f>
        <v>0</v>
      </c>
      <c r="G83" s="31">
        <f t="shared" si="5"/>
        <v>0</v>
      </c>
      <c r="H83" s="32"/>
      <c r="I83" s="29">
        <v>0</v>
      </c>
      <c r="J83" s="32"/>
      <c r="K83" s="31">
        <f>IF('MID-FINAL'!BI76="DRP","DRP",IF('MID-FINAL'!BI76="FA","FA",'MID-FINAL'!BI76+N83))</f>
        <v>0</v>
      </c>
      <c r="L83" s="31">
        <f t="shared" si="6"/>
        <v>0</v>
      </c>
      <c r="M83" s="32"/>
      <c r="N83" s="29">
        <v>0</v>
      </c>
      <c r="O83" s="32"/>
      <c r="P83" s="31">
        <f t="shared" si="7"/>
        <v>0</v>
      </c>
      <c r="Q83" s="31" t="e">
        <f xml:space="preserve"> IF(P83="DRP","DRP",VLOOKUP(P83,'GRADE EQUIVALENTS'!$C$8:$D$109,2,TRUE))</f>
        <v>#N/A</v>
      </c>
      <c r="S83" s="67" t="e">
        <f t="shared" si="8"/>
        <v>#N/A</v>
      </c>
      <c r="T83" s="29">
        <f t="shared" si="9"/>
        <v>1</v>
      </c>
      <c r="V83" s="29">
        <v>0</v>
      </c>
    </row>
    <row r="84" spans="2:22" x14ac:dyDescent="0.3">
      <c r="B84" s="28">
        <v>71</v>
      </c>
      <c r="C84" s="29">
        <f>SETTINGS!B80</f>
        <v>0</v>
      </c>
      <c r="D84" s="33">
        <f>SETTINGS!C80</f>
        <v>0</v>
      </c>
      <c r="F84" s="31">
        <f>IF('MID-FINAL'!AG77  = "DRP","DRP",'MID-FINAL'!AG77 + I84)</f>
        <v>0</v>
      </c>
      <c r="G84" s="31">
        <f t="shared" si="5"/>
        <v>0</v>
      </c>
      <c r="H84" s="32"/>
      <c r="I84" s="29">
        <v>0</v>
      </c>
      <c r="J84" s="32"/>
      <c r="K84" s="31">
        <f>IF('MID-FINAL'!BI77="DRP","DRP",IF('MID-FINAL'!BI77="FA","FA",'MID-FINAL'!BI77+N84))</f>
        <v>0</v>
      </c>
      <c r="L84" s="31">
        <f t="shared" si="6"/>
        <v>0</v>
      </c>
      <c r="M84" s="32"/>
      <c r="N84" s="29">
        <v>0</v>
      </c>
      <c r="O84" s="32"/>
      <c r="P84" s="31">
        <f t="shared" si="7"/>
        <v>0</v>
      </c>
      <c r="Q84" s="31" t="e">
        <f xml:space="preserve"> IF(P84="DRP","DRP",VLOOKUP(P84,'GRADE EQUIVALENTS'!$C$8:$D$109,2,TRUE))</f>
        <v>#N/A</v>
      </c>
      <c r="S84" s="67" t="e">
        <f t="shared" si="8"/>
        <v>#N/A</v>
      </c>
      <c r="T84" s="29">
        <f t="shared" si="9"/>
        <v>1</v>
      </c>
      <c r="V84" s="29">
        <v>0</v>
      </c>
    </row>
    <row r="85" spans="2:22" x14ac:dyDescent="0.3">
      <c r="B85" s="28">
        <v>72</v>
      </c>
      <c r="C85" s="29">
        <f>SETTINGS!B81</f>
        <v>0</v>
      </c>
      <c r="D85" s="33">
        <f>SETTINGS!C81</f>
        <v>0</v>
      </c>
      <c r="F85" s="31">
        <f>IF('MID-FINAL'!AG78  = "DRP","DRP",'MID-FINAL'!AG78 + I85)</f>
        <v>0</v>
      </c>
      <c r="G85" s="31">
        <f t="shared" ref="G85:G89" si="10">IF(F85="DRP","DRP",IF(F85="FA", "FA",F85*0.5))</f>
        <v>0</v>
      </c>
      <c r="H85" s="32"/>
      <c r="I85" s="29">
        <v>0</v>
      </c>
      <c r="J85" s="32"/>
      <c r="K85" s="31">
        <f>IF('MID-FINAL'!BI78="DRP","DRP",IF('MID-FINAL'!BI78="FA","FA",'MID-FINAL'!BI78+N85))</f>
        <v>0</v>
      </c>
      <c r="L85" s="31">
        <f t="shared" ref="L85:L89" si="11">IF(K85="DRP","DRP",IF(K85="FA", "FA",K85*0.5))</f>
        <v>0</v>
      </c>
      <c r="M85" s="32"/>
      <c r="N85" s="29">
        <v>0</v>
      </c>
      <c r="O85" s="32"/>
      <c r="P85" s="31">
        <f t="shared" ref="P85:P89" si="12">IF(F85="DRP","DRP",IF(K85="DRP","DRP",IF(F85="FA","FA",IF(K85="FA","FA",ROUND(L85+G85+V85,0)))))</f>
        <v>0</v>
      </c>
      <c r="Q85" s="31" t="e">
        <f xml:space="preserve"> IF(P85="DRP","DRP",VLOOKUP(P85,'GRADE EQUIVALENTS'!$C$8:$D$109,2,TRUE))</f>
        <v>#N/A</v>
      </c>
      <c r="S85" s="67" t="e">
        <f t="shared" ref="S85:S89" si="13">IF(Q85=5,"FAILED",IF(Q85="DRP","DROPPED","PASSED"))</f>
        <v>#N/A</v>
      </c>
      <c r="T85" s="29">
        <f t="shared" si="9"/>
        <v>1</v>
      </c>
      <c r="V85" s="29">
        <v>0</v>
      </c>
    </row>
    <row r="86" spans="2:22" x14ac:dyDescent="0.3">
      <c r="B86" s="28">
        <v>73</v>
      </c>
      <c r="C86" s="29">
        <f>SETTINGS!B82</f>
        <v>0</v>
      </c>
      <c r="D86" s="33">
        <f>SETTINGS!C82</f>
        <v>0</v>
      </c>
      <c r="F86" s="31">
        <f>IF('MID-FINAL'!AG79  = "DRP","DRP",'MID-FINAL'!AG79 + I86)</f>
        <v>0</v>
      </c>
      <c r="G86" s="31">
        <f t="shared" si="10"/>
        <v>0</v>
      </c>
      <c r="H86" s="32"/>
      <c r="I86" s="29">
        <v>0</v>
      </c>
      <c r="J86" s="32"/>
      <c r="K86" s="31">
        <f>IF('MID-FINAL'!BI79="DRP","DRP",IF('MID-FINAL'!BI79="FA","FA",'MID-FINAL'!BI79+N86))</f>
        <v>0</v>
      </c>
      <c r="L86" s="31">
        <f t="shared" si="11"/>
        <v>0</v>
      </c>
      <c r="M86" s="32"/>
      <c r="N86" s="29">
        <v>0</v>
      </c>
      <c r="O86" s="32"/>
      <c r="P86" s="31">
        <f t="shared" si="12"/>
        <v>0</v>
      </c>
      <c r="Q86" s="31" t="e">
        <f xml:space="preserve"> IF(P86="DRP","DRP",VLOOKUP(P86,'GRADE EQUIVALENTS'!$C$8:$D$109,2,TRUE))</f>
        <v>#N/A</v>
      </c>
      <c r="S86" s="67" t="e">
        <f t="shared" si="13"/>
        <v>#N/A</v>
      </c>
      <c r="T86" s="29">
        <f t="shared" si="9"/>
        <v>1</v>
      </c>
      <c r="V86" s="29">
        <v>0</v>
      </c>
    </row>
    <row r="87" spans="2:22" x14ac:dyDescent="0.3">
      <c r="B87" s="28">
        <v>74</v>
      </c>
      <c r="C87" s="29">
        <f>SETTINGS!B83</f>
        <v>0</v>
      </c>
      <c r="D87" s="33">
        <f>SETTINGS!C83</f>
        <v>0</v>
      </c>
      <c r="F87" s="31">
        <f>IF('MID-FINAL'!AG80  = "DRP","DRP",'MID-FINAL'!AG80 + I87)</f>
        <v>0</v>
      </c>
      <c r="G87" s="31">
        <f t="shared" si="10"/>
        <v>0</v>
      </c>
      <c r="H87" s="32"/>
      <c r="I87" s="29">
        <v>0</v>
      </c>
      <c r="J87" s="32"/>
      <c r="K87" s="31">
        <f>IF('MID-FINAL'!BI80="DRP","DRP",IF('MID-FINAL'!BI80="FA","FA",'MID-FINAL'!BI80+N87))</f>
        <v>0</v>
      </c>
      <c r="L87" s="31">
        <f t="shared" si="11"/>
        <v>0</v>
      </c>
      <c r="M87" s="32"/>
      <c r="N87" s="29">
        <v>0</v>
      </c>
      <c r="O87" s="32"/>
      <c r="P87" s="31">
        <f t="shared" si="12"/>
        <v>0</v>
      </c>
      <c r="Q87" s="31" t="e">
        <f xml:space="preserve"> IF(P87="DRP","DRP",VLOOKUP(P87,'GRADE EQUIVALENTS'!$C$8:$D$109,2,TRUE))</f>
        <v>#N/A</v>
      </c>
      <c r="S87" s="67" t="e">
        <f t="shared" si="13"/>
        <v>#N/A</v>
      </c>
      <c r="T87" s="29">
        <f t="shared" si="9"/>
        <v>1</v>
      </c>
      <c r="V87" s="29">
        <v>0</v>
      </c>
    </row>
    <row r="88" spans="2:22" x14ac:dyDescent="0.3">
      <c r="B88" s="28">
        <v>75</v>
      </c>
      <c r="C88" s="29">
        <f>SETTINGS!B84</f>
        <v>0</v>
      </c>
      <c r="D88" s="33">
        <f>SETTINGS!C84</f>
        <v>0</v>
      </c>
      <c r="F88" s="31">
        <f>IF('MID-FINAL'!AG81  = "DRP","DRP",'MID-FINAL'!AG81 + I88)</f>
        <v>0</v>
      </c>
      <c r="G88" s="31">
        <f t="shared" si="10"/>
        <v>0</v>
      </c>
      <c r="H88" s="32"/>
      <c r="I88" s="29">
        <v>0</v>
      </c>
      <c r="J88" s="32"/>
      <c r="K88" s="31">
        <f>IF('MID-FINAL'!BI81="DRP","DRP",IF('MID-FINAL'!BI81="FA","FA",'MID-FINAL'!BI81+N88))</f>
        <v>0</v>
      </c>
      <c r="L88" s="31">
        <f t="shared" si="11"/>
        <v>0</v>
      </c>
      <c r="M88" s="32"/>
      <c r="N88" s="29">
        <v>0</v>
      </c>
      <c r="O88" s="32"/>
      <c r="P88" s="31">
        <f t="shared" si="12"/>
        <v>0</v>
      </c>
      <c r="Q88" s="31" t="e">
        <f xml:space="preserve"> IF(P88="DRP","DRP",VLOOKUP(P88,'GRADE EQUIVALENTS'!$C$8:$D$109,2,TRUE))</f>
        <v>#N/A</v>
      </c>
      <c r="S88" s="67" t="e">
        <f t="shared" si="13"/>
        <v>#N/A</v>
      </c>
      <c r="T88" s="29">
        <f t="shared" si="9"/>
        <v>1</v>
      </c>
      <c r="V88" s="29">
        <v>0</v>
      </c>
    </row>
    <row r="89" spans="2:22" x14ac:dyDescent="0.3">
      <c r="B89" s="28">
        <v>76</v>
      </c>
      <c r="C89" s="29">
        <f>SETTINGS!B85</f>
        <v>0</v>
      </c>
      <c r="D89" s="33">
        <f>SETTINGS!C85</f>
        <v>0</v>
      </c>
      <c r="F89" s="31">
        <f>IF('MID-FINAL'!AG82  = "DRP","DRP",'MID-FINAL'!AG82 + I89)</f>
        <v>0</v>
      </c>
      <c r="G89" s="31">
        <f t="shared" si="10"/>
        <v>0</v>
      </c>
      <c r="H89" s="32"/>
      <c r="I89" s="29">
        <v>0</v>
      </c>
      <c r="J89" s="32"/>
      <c r="K89" s="31">
        <f>IF('MID-FINAL'!BI82="DRP","DRP",IF('MID-FINAL'!BI82="FA","FA",'MID-FINAL'!BI82+N89))</f>
        <v>0</v>
      </c>
      <c r="L89" s="31">
        <f t="shared" si="11"/>
        <v>0</v>
      </c>
      <c r="M89" s="32"/>
      <c r="N89" s="29">
        <v>0</v>
      </c>
      <c r="O89" s="32"/>
      <c r="P89" s="31">
        <f t="shared" si="12"/>
        <v>0</v>
      </c>
      <c r="Q89" s="31" t="e">
        <f xml:space="preserve"> IF(P89="DRP","DRP",VLOOKUP(P89,'GRADE EQUIVALENTS'!$C$8:$D$109,2,TRUE))</f>
        <v>#N/A</v>
      </c>
      <c r="S89" s="67" t="e">
        <f t="shared" si="13"/>
        <v>#N/A</v>
      </c>
      <c r="T89" s="29">
        <f t="shared" si="9"/>
        <v>1</v>
      </c>
      <c r="V89" s="29">
        <v>0</v>
      </c>
    </row>
  </sheetData>
  <mergeCells count="13">
    <mergeCell ref="B9:T9"/>
    <mergeCell ref="B12:B13"/>
    <mergeCell ref="C12:C13"/>
    <mergeCell ref="D12:D13"/>
    <mergeCell ref="F12:G12"/>
    <mergeCell ref="K12:L12"/>
    <mergeCell ref="P12:Q12"/>
    <mergeCell ref="S12:T12"/>
    <mergeCell ref="B2:T2"/>
    <mergeCell ref="B3:T3"/>
    <mergeCell ref="B4:T4"/>
    <mergeCell ref="B5:T5"/>
    <mergeCell ref="B7:T7"/>
  </mergeCells>
  <conditionalFormatting sqref="Q14:Q89">
    <cfRule type="cellIs" dxfId="8" priority="1" operator="equal">
      <formula>"DRP"</formula>
    </cfRule>
    <cfRule type="cellIs" dxfId="7" priority="2" operator="equal">
      <formula>"FA"</formula>
    </cfRule>
    <cfRule type="cellIs" dxfId="6" priority="3" operator="equal">
      <formula>5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E109"/>
  <sheetViews>
    <sheetView topLeftCell="A35" workbookViewId="0">
      <selection activeCell="D81" sqref="D81"/>
    </sheetView>
  </sheetViews>
  <sheetFormatPr defaultRowHeight="14.4" x14ac:dyDescent="0.3"/>
  <sheetData>
    <row r="4" spans="2:5" x14ac:dyDescent="0.3">
      <c r="B4" s="141" t="s">
        <v>61</v>
      </c>
      <c r="C4" s="142"/>
      <c r="D4" s="142"/>
      <c r="E4" s="142"/>
    </row>
    <row r="5" spans="2:5" x14ac:dyDescent="0.3">
      <c r="B5" s="141"/>
      <c r="C5" s="142"/>
      <c r="D5" s="142"/>
      <c r="E5" s="142"/>
    </row>
    <row r="6" spans="2:5" x14ac:dyDescent="0.3">
      <c r="B6" s="142"/>
      <c r="C6" s="142"/>
      <c r="D6" s="142"/>
      <c r="E6" s="142"/>
    </row>
    <row r="7" spans="2:5" x14ac:dyDescent="0.3">
      <c r="B7" s="72"/>
      <c r="C7" s="72"/>
      <c r="D7" s="72"/>
      <c r="E7" s="72"/>
    </row>
    <row r="8" spans="2:5" x14ac:dyDescent="0.3">
      <c r="B8" s="72"/>
      <c r="C8" s="73">
        <v>1</v>
      </c>
      <c r="D8" s="73">
        <v>5</v>
      </c>
      <c r="E8" s="72"/>
    </row>
    <row r="9" spans="2:5" x14ac:dyDescent="0.3">
      <c r="B9" s="72"/>
      <c r="C9" s="73">
        <v>2</v>
      </c>
      <c r="D9" s="73">
        <v>5</v>
      </c>
      <c r="E9" s="72"/>
    </row>
    <row r="10" spans="2:5" x14ac:dyDescent="0.3">
      <c r="B10" s="72"/>
      <c r="C10" s="73">
        <v>3</v>
      </c>
      <c r="D10" s="73">
        <v>5</v>
      </c>
      <c r="E10" s="72"/>
    </row>
    <row r="11" spans="2:5" x14ac:dyDescent="0.3">
      <c r="B11" s="72"/>
      <c r="C11" s="73">
        <v>4</v>
      </c>
      <c r="D11" s="73">
        <v>5</v>
      </c>
      <c r="E11" s="72"/>
    </row>
    <row r="12" spans="2:5" x14ac:dyDescent="0.3">
      <c r="B12" s="72"/>
      <c r="C12" s="73">
        <v>5</v>
      </c>
      <c r="D12" s="73">
        <v>5</v>
      </c>
      <c r="E12" s="72"/>
    </row>
    <row r="13" spans="2:5" x14ac:dyDescent="0.3">
      <c r="B13" s="72"/>
      <c r="C13" s="73">
        <v>6</v>
      </c>
      <c r="D13" s="73">
        <v>5</v>
      </c>
      <c r="E13" s="72"/>
    </row>
    <row r="14" spans="2:5" x14ac:dyDescent="0.3">
      <c r="B14" s="72"/>
      <c r="C14" s="73">
        <v>7</v>
      </c>
      <c r="D14" s="73">
        <v>5</v>
      </c>
      <c r="E14" s="72"/>
    </row>
    <row r="15" spans="2:5" x14ac:dyDescent="0.3">
      <c r="B15" s="72"/>
      <c r="C15" s="73">
        <v>8</v>
      </c>
      <c r="D15" s="73">
        <v>5</v>
      </c>
      <c r="E15" s="72"/>
    </row>
    <row r="16" spans="2:5" x14ac:dyDescent="0.3">
      <c r="B16" s="72"/>
      <c r="C16" s="73">
        <v>9</v>
      </c>
      <c r="D16" s="73">
        <v>5</v>
      </c>
      <c r="E16" s="72"/>
    </row>
    <row r="17" spans="2:5" x14ac:dyDescent="0.3">
      <c r="B17" s="72"/>
      <c r="C17" s="73">
        <v>10</v>
      </c>
      <c r="D17" s="73">
        <v>5</v>
      </c>
      <c r="E17" s="72"/>
    </row>
    <row r="18" spans="2:5" x14ac:dyDescent="0.3">
      <c r="B18" s="72"/>
      <c r="C18" s="73">
        <v>11</v>
      </c>
      <c r="D18" s="73">
        <v>5</v>
      </c>
      <c r="E18" s="72"/>
    </row>
    <row r="19" spans="2:5" x14ac:dyDescent="0.3">
      <c r="B19" s="72"/>
      <c r="C19" s="73">
        <v>12</v>
      </c>
      <c r="D19" s="73">
        <v>5</v>
      </c>
      <c r="E19" s="72"/>
    </row>
    <row r="20" spans="2:5" x14ac:dyDescent="0.3">
      <c r="B20" s="72"/>
      <c r="C20" s="73">
        <v>13</v>
      </c>
      <c r="D20" s="73">
        <v>5</v>
      </c>
      <c r="E20" s="72"/>
    </row>
    <row r="21" spans="2:5" x14ac:dyDescent="0.3">
      <c r="B21" s="72"/>
      <c r="C21" s="73">
        <v>14</v>
      </c>
      <c r="D21" s="73">
        <v>5</v>
      </c>
      <c r="E21" s="72"/>
    </row>
    <row r="22" spans="2:5" x14ac:dyDescent="0.3">
      <c r="B22" s="72"/>
      <c r="C22" s="73">
        <v>15</v>
      </c>
      <c r="D22" s="73">
        <v>5</v>
      </c>
      <c r="E22" s="72"/>
    </row>
    <row r="23" spans="2:5" x14ac:dyDescent="0.3">
      <c r="B23" s="72"/>
      <c r="C23" s="73">
        <v>16</v>
      </c>
      <c r="D23" s="73">
        <v>5</v>
      </c>
      <c r="E23" s="72"/>
    </row>
    <row r="24" spans="2:5" x14ac:dyDescent="0.3">
      <c r="B24" s="72"/>
      <c r="C24" s="73">
        <v>17</v>
      </c>
      <c r="D24" s="73">
        <v>5</v>
      </c>
      <c r="E24" s="72"/>
    </row>
    <row r="25" spans="2:5" x14ac:dyDescent="0.3">
      <c r="B25" s="72"/>
      <c r="C25" s="73">
        <v>18</v>
      </c>
      <c r="D25" s="73">
        <v>5</v>
      </c>
      <c r="E25" s="72"/>
    </row>
    <row r="26" spans="2:5" x14ac:dyDescent="0.3">
      <c r="B26" s="72"/>
      <c r="C26" s="73">
        <v>19</v>
      </c>
      <c r="D26" s="73">
        <v>5</v>
      </c>
      <c r="E26" s="72"/>
    </row>
    <row r="27" spans="2:5" x14ac:dyDescent="0.3">
      <c r="B27" s="72"/>
      <c r="C27" s="73">
        <v>20</v>
      </c>
      <c r="D27" s="73">
        <v>5</v>
      </c>
      <c r="E27" s="72"/>
    </row>
    <row r="28" spans="2:5" x14ac:dyDescent="0.3">
      <c r="B28" s="72"/>
      <c r="C28" s="73">
        <v>21</v>
      </c>
      <c r="D28" s="73">
        <v>5</v>
      </c>
      <c r="E28" s="72"/>
    </row>
    <row r="29" spans="2:5" x14ac:dyDescent="0.3">
      <c r="B29" s="72"/>
      <c r="C29" s="73">
        <v>22</v>
      </c>
      <c r="D29" s="73">
        <v>5</v>
      </c>
      <c r="E29" s="72"/>
    </row>
    <row r="30" spans="2:5" x14ac:dyDescent="0.3">
      <c r="B30" s="72"/>
      <c r="C30" s="73">
        <v>23</v>
      </c>
      <c r="D30" s="73">
        <v>5</v>
      </c>
      <c r="E30" s="72"/>
    </row>
    <row r="31" spans="2:5" x14ac:dyDescent="0.3">
      <c r="B31" s="72"/>
      <c r="C31" s="73">
        <v>24</v>
      </c>
      <c r="D31" s="73">
        <v>5</v>
      </c>
      <c r="E31" s="72"/>
    </row>
    <row r="32" spans="2:5" x14ac:dyDescent="0.3">
      <c r="B32" s="72"/>
      <c r="C32" s="73">
        <v>25</v>
      </c>
      <c r="D32" s="73">
        <v>5</v>
      </c>
      <c r="E32" s="72"/>
    </row>
    <row r="33" spans="2:5" x14ac:dyDescent="0.3">
      <c r="B33" s="72"/>
      <c r="C33" s="73">
        <v>26</v>
      </c>
      <c r="D33" s="73">
        <v>5</v>
      </c>
      <c r="E33" s="72"/>
    </row>
    <row r="34" spans="2:5" x14ac:dyDescent="0.3">
      <c r="B34" s="72"/>
      <c r="C34" s="73">
        <v>27</v>
      </c>
      <c r="D34" s="73">
        <v>5</v>
      </c>
      <c r="E34" s="72"/>
    </row>
    <row r="35" spans="2:5" x14ac:dyDescent="0.3">
      <c r="B35" s="72"/>
      <c r="C35" s="73">
        <v>28</v>
      </c>
      <c r="D35" s="73">
        <v>5</v>
      </c>
      <c r="E35" s="72"/>
    </row>
    <row r="36" spans="2:5" x14ac:dyDescent="0.3">
      <c r="B36" s="72"/>
      <c r="C36" s="73">
        <v>29</v>
      </c>
      <c r="D36" s="73">
        <v>5</v>
      </c>
      <c r="E36" s="72"/>
    </row>
    <row r="37" spans="2:5" x14ac:dyDescent="0.3">
      <c r="B37" s="72"/>
      <c r="C37" s="73">
        <v>30</v>
      </c>
      <c r="D37" s="73">
        <v>5</v>
      </c>
      <c r="E37" s="72"/>
    </row>
    <row r="38" spans="2:5" x14ac:dyDescent="0.3">
      <c r="B38" s="72"/>
      <c r="C38" s="73">
        <v>31</v>
      </c>
      <c r="D38" s="73">
        <v>5</v>
      </c>
      <c r="E38" s="72"/>
    </row>
    <row r="39" spans="2:5" x14ac:dyDescent="0.3">
      <c r="B39" s="72"/>
      <c r="C39" s="73">
        <v>32</v>
      </c>
      <c r="D39" s="73">
        <v>5</v>
      </c>
      <c r="E39" s="72"/>
    </row>
    <row r="40" spans="2:5" x14ac:dyDescent="0.3">
      <c r="B40" s="72"/>
      <c r="C40" s="73">
        <v>33</v>
      </c>
      <c r="D40" s="73">
        <v>5</v>
      </c>
      <c r="E40" s="72"/>
    </row>
    <row r="41" spans="2:5" x14ac:dyDescent="0.3">
      <c r="B41" s="72"/>
      <c r="C41" s="73">
        <v>34</v>
      </c>
      <c r="D41" s="73">
        <v>5</v>
      </c>
      <c r="E41" s="72"/>
    </row>
    <row r="42" spans="2:5" x14ac:dyDescent="0.3">
      <c r="B42" s="72"/>
      <c r="C42" s="73">
        <v>35</v>
      </c>
      <c r="D42" s="73">
        <v>5</v>
      </c>
      <c r="E42" s="72"/>
    </row>
    <row r="43" spans="2:5" x14ac:dyDescent="0.3">
      <c r="B43" s="72"/>
      <c r="C43" s="73">
        <v>36</v>
      </c>
      <c r="D43" s="73">
        <v>5</v>
      </c>
      <c r="E43" s="72"/>
    </row>
    <row r="44" spans="2:5" x14ac:dyDescent="0.3">
      <c r="B44" s="72"/>
      <c r="C44" s="73">
        <v>37</v>
      </c>
      <c r="D44" s="73">
        <v>5</v>
      </c>
      <c r="E44" s="72"/>
    </row>
    <row r="45" spans="2:5" x14ac:dyDescent="0.3">
      <c r="B45" s="72"/>
      <c r="C45" s="73">
        <v>38</v>
      </c>
      <c r="D45" s="73">
        <v>5</v>
      </c>
      <c r="E45" s="72"/>
    </row>
    <row r="46" spans="2:5" x14ac:dyDescent="0.3">
      <c r="B46" s="72"/>
      <c r="C46" s="73">
        <v>39</v>
      </c>
      <c r="D46" s="73">
        <v>5</v>
      </c>
      <c r="E46" s="72"/>
    </row>
    <row r="47" spans="2:5" x14ac:dyDescent="0.3">
      <c r="B47" s="72"/>
      <c r="C47" s="73">
        <v>40</v>
      </c>
      <c r="D47" s="73">
        <v>5</v>
      </c>
      <c r="E47" s="72"/>
    </row>
    <row r="48" spans="2:5" x14ac:dyDescent="0.3">
      <c r="B48" s="72"/>
      <c r="C48" s="73">
        <v>41</v>
      </c>
      <c r="D48" s="73">
        <v>5</v>
      </c>
      <c r="E48" s="72"/>
    </row>
    <row r="49" spans="2:5" x14ac:dyDescent="0.3">
      <c r="B49" s="72"/>
      <c r="C49" s="73">
        <v>42</v>
      </c>
      <c r="D49" s="73">
        <v>5</v>
      </c>
      <c r="E49" s="72"/>
    </row>
    <row r="50" spans="2:5" x14ac:dyDescent="0.3">
      <c r="B50" s="72"/>
      <c r="C50" s="73">
        <v>43</v>
      </c>
      <c r="D50" s="73">
        <v>5</v>
      </c>
      <c r="E50" s="72"/>
    </row>
    <row r="51" spans="2:5" x14ac:dyDescent="0.3">
      <c r="B51" s="72"/>
      <c r="C51" s="73">
        <v>44</v>
      </c>
      <c r="D51" s="73">
        <v>5</v>
      </c>
      <c r="E51" s="72"/>
    </row>
    <row r="52" spans="2:5" x14ac:dyDescent="0.3">
      <c r="B52" s="72"/>
      <c r="C52" s="73">
        <v>45</v>
      </c>
      <c r="D52" s="73">
        <v>5</v>
      </c>
      <c r="E52" s="72"/>
    </row>
    <row r="53" spans="2:5" x14ac:dyDescent="0.3">
      <c r="B53" s="72"/>
      <c r="C53" s="73">
        <v>46</v>
      </c>
      <c r="D53" s="73">
        <v>5</v>
      </c>
      <c r="E53" s="72"/>
    </row>
    <row r="54" spans="2:5" x14ac:dyDescent="0.3">
      <c r="B54" s="72"/>
      <c r="C54" s="73">
        <v>47</v>
      </c>
      <c r="D54" s="73">
        <v>5</v>
      </c>
      <c r="E54" s="72"/>
    </row>
    <row r="55" spans="2:5" x14ac:dyDescent="0.3">
      <c r="B55" s="72"/>
      <c r="C55" s="73">
        <v>48</v>
      </c>
      <c r="D55" s="73">
        <v>5</v>
      </c>
      <c r="E55" s="72"/>
    </row>
    <row r="56" spans="2:5" x14ac:dyDescent="0.3">
      <c r="B56" s="72"/>
      <c r="C56" s="73">
        <v>49</v>
      </c>
      <c r="D56" s="73">
        <v>5</v>
      </c>
      <c r="E56" s="72"/>
    </row>
    <row r="57" spans="2:5" x14ac:dyDescent="0.3">
      <c r="B57" s="72"/>
      <c r="C57" s="73">
        <v>50</v>
      </c>
      <c r="D57" s="73">
        <v>5</v>
      </c>
      <c r="E57" s="72"/>
    </row>
    <row r="58" spans="2:5" x14ac:dyDescent="0.3">
      <c r="B58" s="72"/>
      <c r="C58" s="73">
        <v>51</v>
      </c>
      <c r="D58" s="73">
        <v>5</v>
      </c>
      <c r="E58" s="72"/>
    </row>
    <row r="59" spans="2:5" x14ac:dyDescent="0.3">
      <c r="B59" s="72"/>
      <c r="C59" s="73">
        <v>52</v>
      </c>
      <c r="D59" s="73">
        <v>5</v>
      </c>
      <c r="E59" s="72"/>
    </row>
    <row r="60" spans="2:5" x14ac:dyDescent="0.3">
      <c r="B60" s="72"/>
      <c r="C60" s="73">
        <v>53</v>
      </c>
      <c r="D60" s="73">
        <v>5</v>
      </c>
      <c r="E60" s="72"/>
    </row>
    <row r="61" spans="2:5" x14ac:dyDescent="0.3">
      <c r="B61" s="72"/>
      <c r="C61" s="73">
        <v>54</v>
      </c>
      <c r="D61" s="73">
        <v>5</v>
      </c>
      <c r="E61" s="72"/>
    </row>
    <row r="62" spans="2:5" x14ac:dyDescent="0.3">
      <c r="B62" s="72"/>
      <c r="C62" s="73">
        <v>55</v>
      </c>
      <c r="D62" s="73">
        <v>5</v>
      </c>
      <c r="E62" s="72"/>
    </row>
    <row r="63" spans="2:5" x14ac:dyDescent="0.3">
      <c r="B63" s="72"/>
      <c r="C63" s="73">
        <v>56</v>
      </c>
      <c r="D63" s="73">
        <v>5</v>
      </c>
      <c r="E63" s="72"/>
    </row>
    <row r="64" spans="2:5" x14ac:dyDescent="0.3">
      <c r="B64" s="72"/>
      <c r="C64" s="73">
        <v>57</v>
      </c>
      <c r="D64" s="73">
        <v>5</v>
      </c>
      <c r="E64" s="72"/>
    </row>
    <row r="65" spans="2:5" x14ac:dyDescent="0.3">
      <c r="B65" s="72"/>
      <c r="C65" s="73">
        <v>58</v>
      </c>
      <c r="D65" s="73">
        <v>5</v>
      </c>
      <c r="E65" s="72"/>
    </row>
    <row r="66" spans="2:5" x14ac:dyDescent="0.3">
      <c r="B66" s="72"/>
      <c r="C66" s="73">
        <v>59</v>
      </c>
      <c r="D66" s="73">
        <v>5</v>
      </c>
      <c r="E66" s="72"/>
    </row>
    <row r="67" spans="2:5" x14ac:dyDescent="0.3">
      <c r="B67" s="72"/>
      <c r="C67" s="73">
        <v>60</v>
      </c>
      <c r="D67" s="73">
        <v>5</v>
      </c>
      <c r="E67" s="72"/>
    </row>
    <row r="68" spans="2:5" x14ac:dyDescent="0.3">
      <c r="B68" s="72"/>
      <c r="C68" s="73">
        <v>61</v>
      </c>
      <c r="D68" s="73">
        <v>5</v>
      </c>
      <c r="E68" s="72"/>
    </row>
    <row r="69" spans="2:5" x14ac:dyDescent="0.3">
      <c r="B69" s="72"/>
      <c r="C69" s="73">
        <v>62</v>
      </c>
      <c r="D69" s="73">
        <v>5</v>
      </c>
      <c r="E69" s="72"/>
    </row>
    <row r="70" spans="2:5" x14ac:dyDescent="0.3">
      <c r="B70" s="72"/>
      <c r="C70" s="73">
        <v>63</v>
      </c>
      <c r="D70" s="73">
        <v>5</v>
      </c>
      <c r="E70" s="72"/>
    </row>
    <row r="71" spans="2:5" x14ac:dyDescent="0.3">
      <c r="B71" s="72"/>
      <c r="C71" s="73">
        <v>64</v>
      </c>
      <c r="D71" s="73">
        <v>5</v>
      </c>
      <c r="E71" s="72"/>
    </row>
    <row r="72" spans="2:5" x14ac:dyDescent="0.3">
      <c r="B72" s="72"/>
      <c r="C72" s="73">
        <v>65</v>
      </c>
      <c r="D72" s="73">
        <v>5</v>
      </c>
      <c r="E72" s="72"/>
    </row>
    <row r="73" spans="2:5" x14ac:dyDescent="0.3">
      <c r="B73" s="72"/>
      <c r="C73" s="73">
        <v>66</v>
      </c>
      <c r="D73" s="73">
        <v>5</v>
      </c>
      <c r="E73" s="72"/>
    </row>
    <row r="74" spans="2:5" x14ac:dyDescent="0.3">
      <c r="B74" s="72"/>
      <c r="C74" s="73">
        <v>67</v>
      </c>
      <c r="D74" s="73">
        <v>5</v>
      </c>
      <c r="E74" s="72"/>
    </row>
    <row r="75" spans="2:5" x14ac:dyDescent="0.3">
      <c r="B75" s="72"/>
      <c r="C75" s="73">
        <v>68</v>
      </c>
      <c r="D75" s="73">
        <v>5</v>
      </c>
      <c r="E75" s="72"/>
    </row>
    <row r="76" spans="2:5" x14ac:dyDescent="0.3">
      <c r="B76" s="72"/>
      <c r="C76" s="73">
        <v>69</v>
      </c>
      <c r="D76" s="73">
        <v>5</v>
      </c>
      <c r="E76" s="72"/>
    </row>
    <row r="77" spans="2:5" x14ac:dyDescent="0.3">
      <c r="B77" s="72"/>
      <c r="C77" s="73">
        <v>70</v>
      </c>
      <c r="D77" s="73">
        <v>5</v>
      </c>
      <c r="E77" s="72"/>
    </row>
    <row r="78" spans="2:5" x14ac:dyDescent="0.3">
      <c r="B78" s="72"/>
      <c r="C78" s="73">
        <v>71</v>
      </c>
      <c r="D78" s="73">
        <v>5</v>
      </c>
      <c r="E78" s="72"/>
    </row>
    <row r="79" spans="2:5" x14ac:dyDescent="0.3">
      <c r="B79" s="72"/>
      <c r="C79" s="73">
        <v>72</v>
      </c>
      <c r="D79" s="73">
        <v>5</v>
      </c>
      <c r="E79" s="72"/>
    </row>
    <row r="80" spans="2:5" x14ac:dyDescent="0.3">
      <c r="B80" s="72"/>
      <c r="C80" s="73">
        <v>73</v>
      </c>
      <c r="D80" s="73">
        <v>5</v>
      </c>
      <c r="E80" s="72"/>
    </row>
    <row r="81" spans="2:5" x14ac:dyDescent="0.3">
      <c r="B81" s="72"/>
      <c r="C81" s="73">
        <v>74</v>
      </c>
      <c r="D81" s="73">
        <v>3</v>
      </c>
      <c r="E81" s="72"/>
    </row>
    <row r="82" spans="2:5" x14ac:dyDescent="0.3">
      <c r="B82" s="72"/>
      <c r="C82" s="73">
        <v>75</v>
      </c>
      <c r="D82" s="73">
        <v>3</v>
      </c>
      <c r="E82" s="72"/>
    </row>
    <row r="83" spans="2:5" x14ac:dyDescent="0.3">
      <c r="B83" s="72"/>
      <c r="C83" s="73">
        <v>76</v>
      </c>
      <c r="D83" s="73">
        <v>2.9</v>
      </c>
      <c r="E83" s="72"/>
    </row>
    <row r="84" spans="2:5" x14ac:dyDescent="0.3">
      <c r="B84" s="72"/>
      <c r="C84" s="73">
        <v>77</v>
      </c>
      <c r="D84" s="73">
        <v>2.8</v>
      </c>
      <c r="E84" s="72"/>
    </row>
    <row r="85" spans="2:5" x14ac:dyDescent="0.3">
      <c r="B85" s="72"/>
      <c r="C85" s="73">
        <v>78</v>
      </c>
      <c r="D85" s="73">
        <v>2.7</v>
      </c>
      <c r="E85" s="72"/>
    </row>
    <row r="86" spans="2:5" x14ac:dyDescent="0.3">
      <c r="B86" s="72"/>
      <c r="C86" s="73">
        <v>79</v>
      </c>
      <c r="D86" s="73">
        <v>2.6</v>
      </c>
      <c r="E86" s="72"/>
    </row>
    <row r="87" spans="2:5" x14ac:dyDescent="0.3">
      <c r="B87" s="72"/>
      <c r="C87" s="73">
        <v>80</v>
      </c>
      <c r="D87" s="73">
        <v>2.5</v>
      </c>
      <c r="E87" s="72"/>
    </row>
    <row r="88" spans="2:5" x14ac:dyDescent="0.3">
      <c r="B88" s="72"/>
      <c r="C88" s="73">
        <v>81</v>
      </c>
      <c r="D88" s="73">
        <v>2.4</v>
      </c>
      <c r="E88" s="72"/>
    </row>
    <row r="89" spans="2:5" x14ac:dyDescent="0.3">
      <c r="B89" s="72"/>
      <c r="C89" s="73">
        <v>82</v>
      </c>
      <c r="D89" s="73">
        <v>2.2999999999999998</v>
      </c>
      <c r="E89" s="72"/>
    </row>
    <row r="90" spans="2:5" x14ac:dyDescent="0.3">
      <c r="B90" s="72"/>
      <c r="C90" s="73">
        <v>83</v>
      </c>
      <c r="D90" s="73">
        <v>2.2000000000000002</v>
      </c>
      <c r="E90" s="72"/>
    </row>
    <row r="91" spans="2:5" x14ac:dyDescent="0.3">
      <c r="B91" s="72"/>
      <c r="C91" s="73">
        <v>84</v>
      </c>
      <c r="D91" s="73">
        <v>2.1</v>
      </c>
      <c r="E91" s="72"/>
    </row>
    <row r="92" spans="2:5" x14ac:dyDescent="0.3">
      <c r="B92" s="72"/>
      <c r="C92" s="73">
        <v>85</v>
      </c>
      <c r="D92" s="73">
        <v>2</v>
      </c>
      <c r="E92" s="72"/>
    </row>
    <row r="93" spans="2:5" x14ac:dyDescent="0.3">
      <c r="B93" s="72"/>
      <c r="C93" s="73">
        <v>86</v>
      </c>
      <c r="D93" s="73">
        <v>1.9</v>
      </c>
      <c r="E93" s="72"/>
    </row>
    <row r="94" spans="2:5" x14ac:dyDescent="0.3">
      <c r="B94" s="72"/>
      <c r="C94" s="73">
        <v>87</v>
      </c>
      <c r="D94" s="73">
        <v>1.8</v>
      </c>
      <c r="E94" s="72"/>
    </row>
    <row r="95" spans="2:5" x14ac:dyDescent="0.3">
      <c r="B95" s="72"/>
      <c r="C95" s="73">
        <v>88</v>
      </c>
      <c r="D95" s="73">
        <v>1.7</v>
      </c>
      <c r="E95" s="72"/>
    </row>
    <row r="96" spans="2:5" x14ac:dyDescent="0.3">
      <c r="B96" s="72"/>
      <c r="C96" s="73">
        <v>89</v>
      </c>
      <c r="D96" s="73">
        <v>1.6</v>
      </c>
      <c r="E96" s="72"/>
    </row>
    <row r="97" spans="2:5" x14ac:dyDescent="0.3">
      <c r="B97" s="72"/>
      <c r="C97" s="73">
        <v>90</v>
      </c>
      <c r="D97" s="73">
        <v>1.5</v>
      </c>
      <c r="E97" s="72"/>
    </row>
    <row r="98" spans="2:5" x14ac:dyDescent="0.3">
      <c r="B98" s="72"/>
      <c r="C98" s="73">
        <v>91</v>
      </c>
      <c r="D98" s="73">
        <v>1.45</v>
      </c>
      <c r="E98" s="72"/>
    </row>
    <row r="99" spans="2:5" x14ac:dyDescent="0.3">
      <c r="B99" s="72"/>
      <c r="C99" s="73">
        <v>92</v>
      </c>
      <c r="D99" s="73">
        <v>1.4</v>
      </c>
      <c r="E99" s="72"/>
    </row>
    <row r="100" spans="2:5" x14ac:dyDescent="0.3">
      <c r="B100" s="72"/>
      <c r="C100" s="73">
        <v>93</v>
      </c>
      <c r="D100" s="73">
        <v>1.35</v>
      </c>
      <c r="E100" s="72"/>
    </row>
    <row r="101" spans="2:5" x14ac:dyDescent="0.3">
      <c r="B101" s="72"/>
      <c r="C101" s="73">
        <v>94</v>
      </c>
      <c r="D101" s="73">
        <v>1.3</v>
      </c>
      <c r="E101" s="72"/>
    </row>
    <row r="102" spans="2:5" x14ac:dyDescent="0.3">
      <c r="B102" s="72"/>
      <c r="C102" s="73">
        <v>95</v>
      </c>
      <c r="D102" s="73">
        <v>1.25</v>
      </c>
      <c r="E102" s="72"/>
    </row>
    <row r="103" spans="2:5" x14ac:dyDescent="0.3">
      <c r="B103" s="72"/>
      <c r="C103" s="73">
        <v>96</v>
      </c>
      <c r="D103" s="73">
        <v>1.2</v>
      </c>
      <c r="E103" s="72"/>
    </row>
    <row r="104" spans="2:5" x14ac:dyDescent="0.3">
      <c r="B104" s="72"/>
      <c r="C104" s="73">
        <v>97</v>
      </c>
      <c r="D104" s="73">
        <v>1.1499999999999999</v>
      </c>
      <c r="E104" s="72"/>
    </row>
    <row r="105" spans="2:5" x14ac:dyDescent="0.3">
      <c r="B105" s="72"/>
      <c r="C105" s="73">
        <v>98</v>
      </c>
      <c r="D105" s="73">
        <v>1.1000000000000001</v>
      </c>
      <c r="E105" s="72"/>
    </row>
    <row r="106" spans="2:5" x14ac:dyDescent="0.3">
      <c r="B106" s="72"/>
      <c r="C106" s="73">
        <v>99</v>
      </c>
      <c r="D106" s="73">
        <v>1.05</v>
      </c>
      <c r="E106" s="72"/>
    </row>
    <row r="107" spans="2:5" x14ac:dyDescent="0.3">
      <c r="B107" s="72"/>
      <c r="C107" s="73">
        <v>100</v>
      </c>
      <c r="D107" s="73">
        <v>1</v>
      </c>
      <c r="E107" s="72"/>
    </row>
    <row r="108" spans="2:5" x14ac:dyDescent="0.3">
      <c r="C108" s="64" t="s">
        <v>66</v>
      </c>
      <c r="D108" s="73">
        <v>5</v>
      </c>
    </row>
    <row r="109" spans="2:5" x14ac:dyDescent="0.3">
      <c r="C109" s="65" t="s">
        <v>67</v>
      </c>
      <c r="D109" s="66">
        <v>5</v>
      </c>
    </row>
  </sheetData>
  <mergeCells count="1">
    <mergeCell ref="B4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6"/>
  <sheetViews>
    <sheetView zoomScaleNormal="100" workbookViewId="0">
      <selection activeCell="L11" sqref="L11:L12"/>
    </sheetView>
  </sheetViews>
  <sheetFormatPr defaultColWidth="9.109375" defaultRowHeight="12" x14ac:dyDescent="0.25"/>
  <cols>
    <col min="1" max="1" width="3.88671875" style="39" customWidth="1"/>
    <col min="2" max="2" width="3.5546875" style="39" customWidth="1"/>
    <col min="3" max="3" width="25.77734375" style="39" customWidth="1"/>
    <col min="4" max="6" width="3.5546875" style="39" customWidth="1"/>
    <col min="7" max="7" width="5.77734375" style="39" customWidth="1"/>
    <col min="8" max="8" width="5.21875" style="39" customWidth="1"/>
    <col min="9" max="9" width="7.44140625" style="39" customWidth="1"/>
    <col min="10" max="10" width="1.5546875" style="39" customWidth="1"/>
    <col min="11" max="11" width="3.21875" style="39" customWidth="1"/>
    <col min="12" max="12" width="25.77734375" style="39" customWidth="1"/>
    <col min="13" max="15" width="3.5546875" style="39" customWidth="1"/>
    <col min="16" max="16" width="5.88671875" style="39" customWidth="1"/>
    <col min="17" max="16384" width="9.109375" style="39"/>
  </cols>
  <sheetData>
    <row r="1" spans="1:19" ht="15" customHeight="1" x14ac:dyDescent="0.25">
      <c r="A1" s="143"/>
      <c r="B1" s="143"/>
      <c r="C1" s="143"/>
      <c r="D1" s="143"/>
      <c r="E1" s="143"/>
      <c r="F1" s="143"/>
      <c r="G1" s="143"/>
      <c r="H1" s="143"/>
      <c r="I1" s="143"/>
      <c r="J1" s="143"/>
    </row>
    <row r="2" spans="1:19" ht="15" customHeight="1" x14ac:dyDescent="0.25">
      <c r="A2" s="143" t="s">
        <v>37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spans="1:19" ht="15" customHeight="1" x14ac:dyDescent="0.3">
      <c r="A3" s="144" t="s">
        <v>21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</row>
    <row r="4" spans="1:19" ht="15" customHeight="1" x14ac:dyDescent="0.25">
      <c r="A4" s="145" t="s">
        <v>38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</row>
    <row r="5" spans="1:19" ht="7.5" customHeight="1" x14ac:dyDescent="0.25"/>
    <row r="6" spans="1:19" ht="15" customHeight="1" x14ac:dyDescent="0.25">
      <c r="A6" s="146" t="str">
        <f>SETTINGS!F13 &amp; " - " &amp; SETTINGS!F14</f>
        <v xml:space="preserve"> - 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</row>
    <row r="7" spans="1:19" ht="15" customHeight="1" x14ac:dyDescent="0.25">
      <c r="A7" s="146" t="str">
        <f>SETTINGS!F10 &amp; " " &amp;SETTINGS!F11</f>
        <v>Second Semester A.Y. 2023-2024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</row>
    <row r="8" spans="1:19" ht="6.75" customHeight="1" x14ac:dyDescent="0.25"/>
    <row r="9" spans="1:19" ht="15" customHeight="1" x14ac:dyDescent="0.25">
      <c r="A9" s="146" t="s">
        <v>39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50"/>
    </row>
    <row r="10" spans="1:19" x14ac:dyDescent="0.25">
      <c r="B10" s="40" t="str">
        <f>"Section: " &amp; SETTINGS!F16</f>
        <v xml:space="preserve">Section: </v>
      </c>
    </row>
    <row r="11" spans="1:19" x14ac:dyDescent="0.25">
      <c r="B11" s="147" t="s">
        <v>15</v>
      </c>
      <c r="C11" s="147" t="s">
        <v>32</v>
      </c>
      <c r="D11" s="148" t="s">
        <v>13</v>
      </c>
      <c r="E11" s="148"/>
      <c r="F11" s="148"/>
      <c r="G11" s="148"/>
      <c r="H11" s="149" t="s">
        <v>40</v>
      </c>
      <c r="I11" s="149" t="s">
        <v>23</v>
      </c>
      <c r="K11" s="147" t="s">
        <v>15</v>
      </c>
      <c r="L11" s="147" t="s">
        <v>32</v>
      </c>
      <c r="M11" s="148" t="s">
        <v>13</v>
      </c>
      <c r="N11" s="148"/>
      <c r="O11" s="148"/>
      <c r="P11" s="148"/>
      <c r="Q11" s="149" t="s">
        <v>40</v>
      </c>
      <c r="R11" s="149" t="s">
        <v>23</v>
      </c>
    </row>
    <row r="12" spans="1:19" x14ac:dyDescent="0.25">
      <c r="B12" s="147"/>
      <c r="C12" s="147"/>
      <c r="D12" s="41" t="s">
        <v>41</v>
      </c>
      <c r="E12" s="41" t="s">
        <v>42</v>
      </c>
      <c r="F12" s="41" t="s">
        <v>43</v>
      </c>
      <c r="G12" s="41" t="s">
        <v>44</v>
      </c>
      <c r="H12" s="149"/>
      <c r="I12" s="149"/>
      <c r="J12" s="42"/>
      <c r="K12" s="147"/>
      <c r="L12" s="147"/>
      <c r="M12" s="41" t="s">
        <v>41</v>
      </c>
      <c r="N12" s="41" t="s">
        <v>42</v>
      </c>
      <c r="O12" s="41" t="s">
        <v>43</v>
      </c>
      <c r="P12" s="41" t="s">
        <v>44</v>
      </c>
      <c r="Q12" s="149"/>
      <c r="R12" s="149"/>
    </row>
    <row r="13" spans="1:19" x14ac:dyDescent="0.25">
      <c r="B13" s="43">
        <v>1</v>
      </c>
      <c r="C13" s="63">
        <f>SETTINGS!C10</f>
        <v>0</v>
      </c>
      <c r="D13" s="44">
        <f>COUNTBLANK(ATT!D6:R6)-COUNTBLANK(ATT!$D$2:$R$2)</f>
        <v>3</v>
      </c>
      <c r="E13" s="44">
        <f>COUNTIFS(ATT!D6:R6,"="&amp;10)</f>
        <v>0</v>
      </c>
      <c r="F13" s="44">
        <f>COUNTIFS(ATT!D6:R6,"="&amp;5)</f>
        <v>0</v>
      </c>
      <c r="G13" s="44">
        <f>COUNTA(ATT!$D$2:$R$5)</f>
        <v>3</v>
      </c>
      <c r="H13" s="54" t="e">
        <f>IF(AVERAGE!F14="DRP","DRP",VLOOKUP(AVERAGE!F14,'GRADE EQUIVALENTS'!$C$8:$D$109,2,TRUE))</f>
        <v>#N/A</v>
      </c>
      <c r="I13" s="45" t="e">
        <f>IF(H13=5,"FAILED",IF(H13="FA","FAILED",IF(H13="DRP","DROPPED","PASSED")))</f>
        <v>#N/A</v>
      </c>
      <c r="K13" s="43">
        <v>51</v>
      </c>
      <c r="L13" s="63">
        <f>SETTINGS!C60</f>
        <v>0</v>
      </c>
      <c r="M13" s="44">
        <f>COUNTBLANK(ATT!D56:R56)-COUNTBLANK(ATT!$D$2:$R$2)</f>
        <v>3</v>
      </c>
      <c r="N13" s="44">
        <f>COUNTIFS(ATT!D56:R56,"="&amp;10)</f>
        <v>0</v>
      </c>
      <c r="O13" s="44">
        <f>COUNTIFS(ATT!D56:R56,"="&amp;5)</f>
        <v>0</v>
      </c>
      <c r="P13" s="44">
        <f>COUNTA(ATT!$D$2:$R$5)</f>
        <v>3</v>
      </c>
      <c r="Q13" s="54" t="e">
        <f>IF(AVERAGE!F64="DRP","DRP",VLOOKUP(AVERAGE!F64,'GRADE EQUIVALENTS'!$C$8:$D$109,2,TRUE))</f>
        <v>#N/A</v>
      </c>
      <c r="R13" s="45" t="e">
        <f>IF(Q13=5,"FAILED",IF(Q13="FA","FAILED",IF(Q13="DRP","DROPPED","PASSED")))</f>
        <v>#N/A</v>
      </c>
    </row>
    <row r="14" spans="1:19" x14ac:dyDescent="0.25">
      <c r="B14" s="43">
        <v>2</v>
      </c>
      <c r="C14" s="63">
        <f>SETTINGS!C11</f>
        <v>0</v>
      </c>
      <c r="D14" s="44">
        <f>COUNTBLANK(ATT!D7:R7)-COUNTBLANK(ATT!$D$2:$R$2)</f>
        <v>3</v>
      </c>
      <c r="E14" s="44">
        <f>COUNTIFS(ATT!D7:R7,"="&amp;10)</f>
        <v>0</v>
      </c>
      <c r="F14" s="44">
        <f>COUNTIFS(ATT!D7:R7,"="&amp;5)</f>
        <v>0</v>
      </c>
      <c r="G14" s="44">
        <f>COUNTA(ATT!$D$2:$R$5)</f>
        <v>3</v>
      </c>
      <c r="H14" s="54" t="e">
        <f>IF(AVERAGE!F15="DRP","DRP",VLOOKUP(AVERAGE!F15,'GRADE EQUIVALENTS'!$C$8:$D$109,2,TRUE))</f>
        <v>#N/A</v>
      </c>
      <c r="I14" s="45" t="e">
        <f t="shared" ref="I14:I62" si="0">IF(H14=5,"FAILED",IF(H14="FA","FAILED",IF(H14="DRP","DROPPED","PASSED")))</f>
        <v>#N/A</v>
      </c>
      <c r="K14" s="43">
        <v>52</v>
      </c>
      <c r="L14" s="63">
        <f>SETTINGS!C61</f>
        <v>0</v>
      </c>
      <c r="M14" s="44">
        <f>COUNTBLANK(ATT!D57:R57)-COUNTBLANK(ATT!$D$2:$R$2)</f>
        <v>3</v>
      </c>
      <c r="N14" s="44">
        <f>COUNTIFS(ATT!D57:R57,"="&amp;10)</f>
        <v>0</v>
      </c>
      <c r="O14" s="44">
        <f>COUNTIFS(ATT!D57:R57,"="&amp;5)</f>
        <v>0</v>
      </c>
      <c r="P14" s="44">
        <f>COUNTA(ATT!$D$2:$R$5)</f>
        <v>3</v>
      </c>
      <c r="Q14" s="54" t="e">
        <f>IF(AVERAGE!F65="DRP","DRP",VLOOKUP(AVERAGE!F65,'GRADE EQUIVALENTS'!$C$8:$D$109,2,TRUE))</f>
        <v>#N/A</v>
      </c>
      <c r="R14" s="45" t="e">
        <f t="shared" ref="R14:R21" si="1">IF(Q14=5,"FAILED",IF(Q14="FA","FAILED",IF(Q14="DRP","DROPPED","PASSED")))</f>
        <v>#N/A</v>
      </c>
    </row>
    <row r="15" spans="1:19" x14ac:dyDescent="0.25">
      <c r="B15" s="43">
        <v>3</v>
      </c>
      <c r="C15" s="63">
        <f>SETTINGS!C12</f>
        <v>0</v>
      </c>
      <c r="D15" s="44">
        <f>COUNTBLANK(ATT!D8:R8)-COUNTBLANK(ATT!$D$2:$R$2)</f>
        <v>3</v>
      </c>
      <c r="E15" s="44">
        <f>COUNTIFS(ATT!D8:R8,"="&amp;10)</f>
        <v>0</v>
      </c>
      <c r="F15" s="44">
        <f>COUNTIFS(ATT!D8:R8,"="&amp;5)</f>
        <v>0</v>
      </c>
      <c r="G15" s="44">
        <f>COUNTA(ATT!$D$2:$R$5)</f>
        <v>3</v>
      </c>
      <c r="H15" s="54" t="e">
        <f>IF(AVERAGE!F16="DRP","DRP",VLOOKUP(AVERAGE!F16,'GRADE EQUIVALENTS'!$C$8:$D$109,2,TRUE))</f>
        <v>#N/A</v>
      </c>
      <c r="I15" s="45" t="e">
        <f t="shared" si="0"/>
        <v>#N/A</v>
      </c>
      <c r="K15" s="43">
        <v>53</v>
      </c>
      <c r="L15" s="63">
        <f>SETTINGS!C62</f>
        <v>0</v>
      </c>
      <c r="M15" s="44">
        <f>COUNTBLANK(ATT!D58:R58)-COUNTBLANK(ATT!$D$2:$R$2)</f>
        <v>3</v>
      </c>
      <c r="N15" s="44">
        <f>COUNTIFS(ATT!D58:R58,"="&amp;10)</f>
        <v>0</v>
      </c>
      <c r="O15" s="44">
        <f>COUNTIFS(ATT!D58:R58,"="&amp;5)</f>
        <v>0</v>
      </c>
      <c r="P15" s="44">
        <f>COUNTA(ATT!$D$2:$R$5)</f>
        <v>3</v>
      </c>
      <c r="Q15" s="54" t="e">
        <f>IF(AVERAGE!F66="DRP","DRP",VLOOKUP(AVERAGE!F66,'GRADE EQUIVALENTS'!$C$8:$D$109,2,TRUE))</f>
        <v>#N/A</v>
      </c>
      <c r="R15" s="45" t="e">
        <f t="shared" si="1"/>
        <v>#N/A</v>
      </c>
    </row>
    <row r="16" spans="1:19" x14ac:dyDescent="0.25">
      <c r="B16" s="43">
        <v>4</v>
      </c>
      <c r="C16" s="63">
        <f>SETTINGS!C13</f>
        <v>0</v>
      </c>
      <c r="D16" s="44">
        <f>COUNTBLANK(ATT!D9:R9)-COUNTBLANK(ATT!$D$2:$R$2)</f>
        <v>3</v>
      </c>
      <c r="E16" s="44">
        <f>COUNTIFS(ATT!D9:R9,"="&amp;10)</f>
        <v>0</v>
      </c>
      <c r="F16" s="44">
        <f>COUNTIFS(ATT!D9:R9,"="&amp;5)</f>
        <v>0</v>
      </c>
      <c r="G16" s="44">
        <f>COUNTA(ATT!$D$2:$R$5)</f>
        <v>3</v>
      </c>
      <c r="H16" s="54" t="e">
        <f>IF(AVERAGE!F17="DRP","DRP",VLOOKUP(AVERAGE!F17,'GRADE EQUIVALENTS'!$C$8:$D$109,2,TRUE))</f>
        <v>#N/A</v>
      </c>
      <c r="I16" s="45" t="e">
        <f t="shared" si="0"/>
        <v>#N/A</v>
      </c>
      <c r="K16" s="43">
        <v>54</v>
      </c>
      <c r="L16" s="63">
        <f>SETTINGS!C63</f>
        <v>0</v>
      </c>
      <c r="M16" s="44">
        <f>COUNTBLANK(ATT!D59:R59)-COUNTBLANK(ATT!$D$2:$R$2)</f>
        <v>3</v>
      </c>
      <c r="N16" s="44">
        <f>COUNTIFS(ATT!D59:R59,"="&amp;10)</f>
        <v>0</v>
      </c>
      <c r="O16" s="44">
        <f>COUNTIFS(ATT!D59:R59,"="&amp;5)</f>
        <v>0</v>
      </c>
      <c r="P16" s="44">
        <f>COUNTA(ATT!$D$2:$R$5)</f>
        <v>3</v>
      </c>
      <c r="Q16" s="54" t="e">
        <f>IF(AVERAGE!F67="DRP","DRP",VLOOKUP(AVERAGE!F67,'GRADE EQUIVALENTS'!$C$8:$D$109,2,TRUE))</f>
        <v>#N/A</v>
      </c>
      <c r="R16" s="45" t="e">
        <f t="shared" si="1"/>
        <v>#N/A</v>
      </c>
    </row>
    <row r="17" spans="2:18" x14ac:dyDescent="0.25">
      <c r="B17" s="43">
        <v>5</v>
      </c>
      <c r="C17" s="63">
        <f>SETTINGS!C14</f>
        <v>0</v>
      </c>
      <c r="D17" s="44">
        <f>COUNTBLANK(ATT!D10:R10)-COUNTBLANK(ATT!$D$2:$R$2)</f>
        <v>3</v>
      </c>
      <c r="E17" s="44">
        <f>COUNTIFS(ATT!D10:R10,"="&amp;10)</f>
        <v>0</v>
      </c>
      <c r="F17" s="44">
        <f>COUNTIFS(ATT!D10:R10,"="&amp;5)</f>
        <v>0</v>
      </c>
      <c r="G17" s="44">
        <f>COUNTA(ATT!$D$2:$R$5)</f>
        <v>3</v>
      </c>
      <c r="H17" s="54" t="e">
        <f>IF(AVERAGE!F18="DRP","DRP",VLOOKUP(AVERAGE!F18,'GRADE EQUIVALENTS'!$C$8:$D$109,2,TRUE))</f>
        <v>#N/A</v>
      </c>
      <c r="I17" s="45" t="e">
        <f t="shared" si="0"/>
        <v>#N/A</v>
      </c>
      <c r="K17" s="43">
        <v>55</v>
      </c>
      <c r="L17" s="63">
        <f>SETTINGS!C64</f>
        <v>0</v>
      </c>
      <c r="M17" s="44">
        <f>COUNTBLANK(ATT!D60:R60)-COUNTBLANK(ATT!$D$2:$R$2)</f>
        <v>3</v>
      </c>
      <c r="N17" s="44">
        <f>COUNTIFS(ATT!D60:R60,"="&amp;10)</f>
        <v>0</v>
      </c>
      <c r="O17" s="44">
        <f>COUNTIFS(ATT!D60:R60,"="&amp;5)</f>
        <v>0</v>
      </c>
      <c r="P17" s="44">
        <f>COUNTA(ATT!$D$2:$R$5)</f>
        <v>3</v>
      </c>
      <c r="Q17" s="54" t="e">
        <f>IF(AVERAGE!F68="DRP","DRP",VLOOKUP(AVERAGE!F68,'GRADE EQUIVALENTS'!$C$8:$D$109,2,TRUE))</f>
        <v>#N/A</v>
      </c>
      <c r="R17" s="45" t="e">
        <f t="shared" si="1"/>
        <v>#N/A</v>
      </c>
    </row>
    <row r="18" spans="2:18" x14ac:dyDescent="0.25">
      <c r="B18" s="43">
        <v>6</v>
      </c>
      <c r="C18" s="63">
        <f>SETTINGS!C15</f>
        <v>0</v>
      </c>
      <c r="D18" s="44">
        <f>COUNTBLANK(ATT!D11:R11)-COUNTBLANK(ATT!$D$2:$R$2)</f>
        <v>3</v>
      </c>
      <c r="E18" s="44">
        <f>COUNTIFS(ATT!D11:R11,"="&amp;10)</f>
        <v>0</v>
      </c>
      <c r="F18" s="44">
        <f>COUNTIFS(ATT!D11:R11,"="&amp;5)</f>
        <v>0</v>
      </c>
      <c r="G18" s="44">
        <f>COUNTA(ATT!$D$2:$R$5)</f>
        <v>3</v>
      </c>
      <c r="H18" s="54" t="e">
        <f>IF(AVERAGE!F19="DRP","DRP",VLOOKUP(AVERAGE!F19,'GRADE EQUIVALENTS'!$C$8:$D$109,2,TRUE))</f>
        <v>#N/A</v>
      </c>
      <c r="I18" s="45" t="e">
        <f t="shared" si="0"/>
        <v>#N/A</v>
      </c>
      <c r="K18" s="43">
        <v>56</v>
      </c>
      <c r="L18" s="63">
        <f>SETTINGS!C65</f>
        <v>0</v>
      </c>
      <c r="M18" s="44">
        <f>COUNTBLANK(ATT!D61:R61)-COUNTBLANK(ATT!$D$2:$R$2)</f>
        <v>3</v>
      </c>
      <c r="N18" s="44">
        <f>COUNTIFS(ATT!D61:R61,"="&amp;10)</f>
        <v>0</v>
      </c>
      <c r="O18" s="44">
        <f>COUNTIFS(ATT!D61:R61,"="&amp;5)</f>
        <v>0</v>
      </c>
      <c r="P18" s="44">
        <f>COUNTA(ATT!$D$2:$R$5)</f>
        <v>3</v>
      </c>
      <c r="Q18" s="54" t="e">
        <f>IF(AVERAGE!F69="DRP","DRP",VLOOKUP(AVERAGE!F69,'GRADE EQUIVALENTS'!$C$8:$D$109,2,TRUE))</f>
        <v>#N/A</v>
      </c>
      <c r="R18" s="45" t="e">
        <f t="shared" si="1"/>
        <v>#N/A</v>
      </c>
    </row>
    <row r="19" spans="2:18" x14ac:dyDescent="0.25">
      <c r="B19" s="43">
        <v>7</v>
      </c>
      <c r="C19" s="63">
        <f>SETTINGS!C16</f>
        <v>0</v>
      </c>
      <c r="D19" s="44">
        <f>COUNTBLANK(ATT!D12:R12)-COUNTBLANK(ATT!$D$2:$R$2)</f>
        <v>3</v>
      </c>
      <c r="E19" s="44">
        <f>COUNTIFS(ATT!D12:R12,"="&amp;10)</f>
        <v>0</v>
      </c>
      <c r="F19" s="44">
        <f>COUNTIFS(ATT!D12:R12,"="&amp;5)</f>
        <v>0</v>
      </c>
      <c r="G19" s="44">
        <f>COUNTA(ATT!$D$2:$R$5)</f>
        <v>3</v>
      </c>
      <c r="H19" s="54" t="e">
        <f>IF(AVERAGE!F20="DRP","DRP",VLOOKUP(AVERAGE!F20,'GRADE EQUIVALENTS'!$C$8:$D$109,2,TRUE))</f>
        <v>#N/A</v>
      </c>
      <c r="I19" s="45" t="e">
        <f t="shared" si="0"/>
        <v>#N/A</v>
      </c>
      <c r="K19" s="43">
        <v>57</v>
      </c>
      <c r="L19" s="63">
        <f>SETTINGS!C66</f>
        <v>0</v>
      </c>
      <c r="M19" s="44">
        <f>COUNTBLANK(ATT!D62:R62)-COUNTBLANK(ATT!$D$2:$R$2)</f>
        <v>3</v>
      </c>
      <c r="N19" s="44">
        <f>COUNTIFS(ATT!D62:R62,"="&amp;10)</f>
        <v>0</v>
      </c>
      <c r="O19" s="44">
        <f>COUNTIFS(ATT!D62:R62,"="&amp;5)</f>
        <v>0</v>
      </c>
      <c r="P19" s="44">
        <f>COUNTA(ATT!$D$2:$R$5)</f>
        <v>3</v>
      </c>
      <c r="Q19" s="54" t="e">
        <f>IF(AVERAGE!F70="DRP","DRP",VLOOKUP(AVERAGE!F70,'GRADE EQUIVALENTS'!$C$8:$D$109,2,TRUE))</f>
        <v>#N/A</v>
      </c>
      <c r="R19" s="45" t="e">
        <f t="shared" si="1"/>
        <v>#N/A</v>
      </c>
    </row>
    <row r="20" spans="2:18" x14ac:dyDescent="0.25">
      <c r="B20" s="43">
        <v>8</v>
      </c>
      <c r="C20" s="63">
        <f>SETTINGS!C17</f>
        <v>0</v>
      </c>
      <c r="D20" s="44">
        <f>COUNTBLANK(ATT!D13:R13)-COUNTBLANK(ATT!$D$2:$R$2)</f>
        <v>3</v>
      </c>
      <c r="E20" s="44">
        <f>COUNTIFS(ATT!D13:R13,"="&amp;10)</f>
        <v>0</v>
      </c>
      <c r="F20" s="44">
        <f>COUNTIFS(ATT!D13:R13,"="&amp;5)</f>
        <v>0</v>
      </c>
      <c r="G20" s="44">
        <f>COUNTA(ATT!$D$2:$R$5)</f>
        <v>3</v>
      </c>
      <c r="H20" s="54" t="e">
        <f>IF(AVERAGE!F21="DRP","DRP",VLOOKUP(AVERAGE!F21,'GRADE EQUIVALENTS'!$C$8:$D$109,2,TRUE))</f>
        <v>#N/A</v>
      </c>
      <c r="I20" s="45" t="e">
        <f t="shared" si="0"/>
        <v>#N/A</v>
      </c>
      <c r="K20" s="43">
        <v>58</v>
      </c>
      <c r="L20" s="63">
        <f>SETTINGS!C67</f>
        <v>0</v>
      </c>
      <c r="M20" s="44">
        <f>COUNTBLANK(ATT!D63:R63)-COUNTBLANK(ATT!$D$2:$R$2)</f>
        <v>3</v>
      </c>
      <c r="N20" s="44">
        <f>COUNTIFS(ATT!D63:R63,"="&amp;10)</f>
        <v>0</v>
      </c>
      <c r="O20" s="44">
        <f>COUNTIFS(ATT!D63:R63,"="&amp;5)</f>
        <v>0</v>
      </c>
      <c r="P20" s="44">
        <f>COUNTA(ATT!$D$2:$R$5)</f>
        <v>3</v>
      </c>
      <c r="Q20" s="54" t="e">
        <f>IF(AVERAGE!F71="DRP","DRP",VLOOKUP(AVERAGE!F71,'GRADE EQUIVALENTS'!$C$8:$D$109,2,TRUE))</f>
        <v>#N/A</v>
      </c>
      <c r="R20" s="45" t="e">
        <f t="shared" si="1"/>
        <v>#N/A</v>
      </c>
    </row>
    <row r="21" spans="2:18" x14ac:dyDescent="0.25">
      <c r="B21" s="43">
        <v>9</v>
      </c>
      <c r="C21" s="63">
        <f>SETTINGS!C18</f>
        <v>0</v>
      </c>
      <c r="D21" s="44">
        <f>COUNTBLANK(ATT!D14:R14)-COUNTBLANK(ATT!$D$2:$R$2)</f>
        <v>3</v>
      </c>
      <c r="E21" s="44">
        <f>COUNTIFS(ATT!D14:R14,"="&amp;10)</f>
        <v>0</v>
      </c>
      <c r="F21" s="44">
        <f>COUNTIFS(ATT!D14:R14,"="&amp;5)</f>
        <v>0</v>
      </c>
      <c r="G21" s="44">
        <f>COUNTA(ATT!$D$2:$R$5)</f>
        <v>3</v>
      </c>
      <c r="H21" s="54" t="e">
        <f>IF(AVERAGE!F22="DRP","DRP",VLOOKUP(AVERAGE!F22,'GRADE EQUIVALENTS'!$C$8:$D$109,2,TRUE))</f>
        <v>#N/A</v>
      </c>
      <c r="I21" s="45" t="e">
        <f t="shared" si="0"/>
        <v>#N/A</v>
      </c>
      <c r="K21" s="43">
        <v>59</v>
      </c>
      <c r="L21" s="63">
        <f>SETTINGS!C68</f>
        <v>0</v>
      </c>
      <c r="M21" s="44">
        <f>COUNTBLANK(ATT!D64:R64)-COUNTBLANK(ATT!$D$2:$R$2)</f>
        <v>3</v>
      </c>
      <c r="N21" s="44">
        <f>COUNTIFS(ATT!D64:R64,"="&amp;10)</f>
        <v>0</v>
      </c>
      <c r="O21" s="44">
        <f>COUNTIFS(ATT!D64:R64,"="&amp;5)</f>
        <v>0</v>
      </c>
      <c r="P21" s="44">
        <f>COUNTA(ATT!$D$2:$R$5)</f>
        <v>3</v>
      </c>
      <c r="Q21" s="54" t="e">
        <f>IF(AVERAGE!F72="DRP","DRP",VLOOKUP(AVERAGE!F72,'GRADE EQUIVALENTS'!$C$8:$D$109,2,TRUE))</f>
        <v>#N/A</v>
      </c>
      <c r="R21" s="45" t="e">
        <f t="shared" si="1"/>
        <v>#N/A</v>
      </c>
    </row>
    <row r="22" spans="2:18" x14ac:dyDescent="0.25">
      <c r="B22" s="43">
        <v>10</v>
      </c>
      <c r="C22" s="63">
        <f>SETTINGS!C19</f>
        <v>0</v>
      </c>
      <c r="D22" s="44">
        <f>COUNTBLANK(ATT!D15:R15)-COUNTBLANK(ATT!$D$2:$R$2)</f>
        <v>3</v>
      </c>
      <c r="E22" s="44">
        <f>COUNTIFS(ATT!D15:R15,"="&amp;10)</f>
        <v>0</v>
      </c>
      <c r="F22" s="44">
        <f>COUNTIFS(ATT!D15:R15,"="&amp;5)</f>
        <v>0</v>
      </c>
      <c r="G22" s="44">
        <f>COUNTA(ATT!$D$2:$R$5)</f>
        <v>3</v>
      </c>
      <c r="H22" s="54" t="e">
        <f>IF(AVERAGE!F23="DRP","DRP",VLOOKUP(AVERAGE!F23,'GRADE EQUIVALENTS'!$C$8:$D$109,2,TRUE))</f>
        <v>#N/A</v>
      </c>
      <c r="I22" s="45" t="e">
        <f t="shared" si="0"/>
        <v>#N/A</v>
      </c>
      <c r="K22" s="43">
        <v>60</v>
      </c>
      <c r="L22" s="63">
        <f>SETTINGS!C69</f>
        <v>0</v>
      </c>
      <c r="M22" s="44">
        <f>COUNTBLANK(ATT!D65:R65)-COUNTBLANK(ATT!$D$2:$R$2)</f>
        <v>3</v>
      </c>
      <c r="N22" s="44">
        <f>COUNTIFS(ATT!D65:R65,"="&amp;10)</f>
        <v>0</v>
      </c>
      <c r="O22" s="44">
        <f>COUNTIFS(ATT!D65:R65,"="&amp;5)</f>
        <v>0</v>
      </c>
      <c r="P22" s="44">
        <f>COUNTA(ATT!$D$2:$R$5)</f>
        <v>3</v>
      </c>
      <c r="Q22" s="54" t="e">
        <f>IF(AVERAGE!F73="DRP","DRP",VLOOKUP(AVERAGE!F73,'GRADE EQUIVALENTS'!$C$8:$D$109,2,TRUE))</f>
        <v>#N/A</v>
      </c>
      <c r="R22" s="45" t="e">
        <f>IF(Q22=5,"FAILED",IF(Q22="FA","FAILED",IF(Q22="DRP","DROPPED","PASSED")))</f>
        <v>#N/A</v>
      </c>
    </row>
    <row r="23" spans="2:18" x14ac:dyDescent="0.25">
      <c r="B23" s="43">
        <v>11</v>
      </c>
      <c r="C23" s="63">
        <f>SETTINGS!C20</f>
        <v>0</v>
      </c>
      <c r="D23" s="44">
        <f>COUNTBLANK(ATT!D16:R16)-COUNTBLANK(ATT!$D$2:$R$2)</f>
        <v>3</v>
      </c>
      <c r="E23" s="44">
        <f>COUNTIFS(ATT!D16:R16,"="&amp;10)</f>
        <v>0</v>
      </c>
      <c r="F23" s="44">
        <f>COUNTIFS(ATT!D16:R16,"="&amp;5)</f>
        <v>0</v>
      </c>
      <c r="G23" s="44">
        <f>COUNTA(ATT!$D$2:$R$5)</f>
        <v>3</v>
      </c>
      <c r="H23" s="54" t="e">
        <f>IF(AVERAGE!F24="DRP","DRP",VLOOKUP(AVERAGE!F24,'GRADE EQUIVALENTS'!$C$8:$D$109,2,TRUE))</f>
        <v>#N/A</v>
      </c>
      <c r="I23" s="45" t="e">
        <f t="shared" si="0"/>
        <v>#N/A</v>
      </c>
      <c r="K23" s="43">
        <v>61</v>
      </c>
      <c r="L23" s="63">
        <f>SETTINGS!C70</f>
        <v>0</v>
      </c>
      <c r="M23" s="44">
        <f>COUNTBLANK(ATT!D66:R66)-COUNTBLANK(ATT!$D$2:$R$2)</f>
        <v>3</v>
      </c>
      <c r="N23" s="44">
        <f>COUNTIFS(ATT!D66:R66,"="&amp;10)</f>
        <v>0</v>
      </c>
      <c r="O23" s="44">
        <f>COUNTIFS(ATT!D66:R66,"="&amp;5)</f>
        <v>0</v>
      </c>
      <c r="P23" s="44">
        <f>COUNTA(ATT!$D$2:$R$5)</f>
        <v>3</v>
      </c>
      <c r="Q23" s="54" t="e">
        <f>IF(AVERAGE!F74="DRP","DRP",VLOOKUP(AVERAGE!F74,'GRADE EQUIVALENTS'!$C$8:$D$109,2,TRUE))</f>
        <v>#N/A</v>
      </c>
      <c r="R23" s="45" t="e">
        <f t="shared" ref="R23:R32" si="2">IF(Q23=5,"FAILED",IF(Q23="FA","FAILED",IF(Q23="DRP","DROPPED","PASSED")))</f>
        <v>#N/A</v>
      </c>
    </row>
    <row r="24" spans="2:18" x14ac:dyDescent="0.25">
      <c r="B24" s="43">
        <v>12</v>
      </c>
      <c r="C24" s="63">
        <f>SETTINGS!C21</f>
        <v>0</v>
      </c>
      <c r="D24" s="44">
        <f>COUNTBLANK(ATT!D17:R17)-COUNTBLANK(ATT!$D$2:$R$2)</f>
        <v>3</v>
      </c>
      <c r="E24" s="44">
        <f>COUNTIFS(ATT!D17:R17,"="&amp;10)</f>
        <v>0</v>
      </c>
      <c r="F24" s="44">
        <f>COUNTIFS(ATT!D17:R17,"="&amp;5)</f>
        <v>0</v>
      </c>
      <c r="G24" s="44">
        <f>COUNTA(ATT!$D$2:$R$5)</f>
        <v>3</v>
      </c>
      <c r="H24" s="54" t="e">
        <f>IF(AVERAGE!F25="DRP","DRP",VLOOKUP(AVERAGE!F25,'GRADE EQUIVALENTS'!$C$8:$D$109,2,TRUE))</f>
        <v>#N/A</v>
      </c>
      <c r="I24" s="45" t="e">
        <f t="shared" si="0"/>
        <v>#N/A</v>
      </c>
      <c r="K24" s="43">
        <v>62</v>
      </c>
      <c r="L24" s="63">
        <f>SETTINGS!C71</f>
        <v>0</v>
      </c>
      <c r="M24" s="44">
        <f>COUNTBLANK(ATT!D67:R67)-COUNTBLANK(ATT!$D$2:$R$2)</f>
        <v>3</v>
      </c>
      <c r="N24" s="44">
        <f>COUNTIFS(ATT!D67:R67,"="&amp;10)</f>
        <v>0</v>
      </c>
      <c r="O24" s="44">
        <f>COUNTIFS(ATT!D67:R67,"="&amp;5)</f>
        <v>0</v>
      </c>
      <c r="P24" s="44">
        <f>COUNTA(ATT!$D$2:$R$5)</f>
        <v>3</v>
      </c>
      <c r="Q24" s="54" t="e">
        <f>IF(AVERAGE!F75="DRP","DRP",VLOOKUP(AVERAGE!F75,'GRADE EQUIVALENTS'!$C$8:$D$109,2,TRUE))</f>
        <v>#N/A</v>
      </c>
      <c r="R24" s="45" t="e">
        <f t="shared" si="2"/>
        <v>#N/A</v>
      </c>
    </row>
    <row r="25" spans="2:18" x14ac:dyDescent="0.25">
      <c r="B25" s="43">
        <v>13</v>
      </c>
      <c r="C25" s="63">
        <f>SETTINGS!C22</f>
        <v>0</v>
      </c>
      <c r="D25" s="44">
        <f>COUNTBLANK(ATT!D18:R18)-COUNTBLANK(ATT!$D$2:$R$2)</f>
        <v>3</v>
      </c>
      <c r="E25" s="44">
        <f>COUNTIFS(ATT!D18:R18,"="&amp;10)</f>
        <v>0</v>
      </c>
      <c r="F25" s="44">
        <f>COUNTIFS(ATT!D18:R18,"="&amp;5)</f>
        <v>0</v>
      </c>
      <c r="G25" s="44">
        <f>COUNTA(ATT!$D$2:$R$5)</f>
        <v>3</v>
      </c>
      <c r="H25" s="54" t="e">
        <f>IF(AVERAGE!F26="DRP","DRP",VLOOKUP(AVERAGE!F26,'GRADE EQUIVALENTS'!$C$8:$D$109,2,TRUE))</f>
        <v>#N/A</v>
      </c>
      <c r="I25" s="45" t="e">
        <f t="shared" si="0"/>
        <v>#N/A</v>
      </c>
      <c r="K25" s="43">
        <v>63</v>
      </c>
      <c r="L25" s="63">
        <f>SETTINGS!C72</f>
        <v>0</v>
      </c>
      <c r="M25" s="44">
        <f>COUNTBLANK(ATT!D68:R68)-COUNTBLANK(ATT!$D$2:$R$2)</f>
        <v>3</v>
      </c>
      <c r="N25" s="44">
        <f>COUNTIFS(ATT!D68:R68,"="&amp;10)</f>
        <v>0</v>
      </c>
      <c r="O25" s="44">
        <f>COUNTIFS(ATT!D68:R68,"="&amp;5)</f>
        <v>0</v>
      </c>
      <c r="P25" s="44">
        <f>COUNTA(ATT!$D$2:$R$5)</f>
        <v>3</v>
      </c>
      <c r="Q25" s="54" t="e">
        <f>IF(AVERAGE!F76="DRP","DRP",VLOOKUP(AVERAGE!F76,'GRADE EQUIVALENTS'!$C$8:$D$109,2,TRUE))</f>
        <v>#N/A</v>
      </c>
      <c r="R25" s="45" t="e">
        <f t="shared" si="2"/>
        <v>#N/A</v>
      </c>
    </row>
    <row r="26" spans="2:18" x14ac:dyDescent="0.25">
      <c r="B26" s="43">
        <v>14</v>
      </c>
      <c r="C26" s="63">
        <f>SETTINGS!C23</f>
        <v>0</v>
      </c>
      <c r="D26" s="44">
        <f>COUNTBLANK(ATT!D19:R19)-COUNTBLANK(ATT!$D$2:$R$2)</f>
        <v>3</v>
      </c>
      <c r="E26" s="44">
        <f>COUNTIFS(ATT!D19:R19,"="&amp;10)</f>
        <v>0</v>
      </c>
      <c r="F26" s="44">
        <f>COUNTIFS(ATT!D19:R19,"="&amp;5)</f>
        <v>0</v>
      </c>
      <c r="G26" s="44">
        <f>COUNTA(ATT!$D$2:$R$5)</f>
        <v>3</v>
      </c>
      <c r="H26" s="54" t="e">
        <f>IF(AVERAGE!F27="DRP","DRP",VLOOKUP(AVERAGE!F27,'GRADE EQUIVALENTS'!$C$8:$D$109,2,TRUE))</f>
        <v>#N/A</v>
      </c>
      <c r="I26" s="45" t="e">
        <f t="shared" si="0"/>
        <v>#N/A</v>
      </c>
      <c r="K26" s="43">
        <v>64</v>
      </c>
      <c r="L26" s="63">
        <f>SETTINGS!C73</f>
        <v>0</v>
      </c>
      <c r="M26" s="44">
        <f>COUNTBLANK(ATT!D69:R69)-COUNTBLANK(ATT!$D$2:$R$2)</f>
        <v>3</v>
      </c>
      <c r="N26" s="44">
        <f>COUNTIFS(ATT!D69:R69,"="&amp;10)</f>
        <v>0</v>
      </c>
      <c r="O26" s="44">
        <f>COUNTIFS(ATT!D69:R69,"="&amp;5)</f>
        <v>0</v>
      </c>
      <c r="P26" s="44">
        <f>COUNTA(ATT!$D$2:$R$5)</f>
        <v>3</v>
      </c>
      <c r="Q26" s="54" t="e">
        <f>IF(AVERAGE!F77="DRP","DRP",VLOOKUP(AVERAGE!F77,'GRADE EQUIVALENTS'!$C$8:$D$109,2,TRUE))</f>
        <v>#N/A</v>
      </c>
      <c r="R26" s="45" t="e">
        <f t="shared" si="2"/>
        <v>#N/A</v>
      </c>
    </row>
    <row r="27" spans="2:18" x14ac:dyDescent="0.25">
      <c r="B27" s="43">
        <v>15</v>
      </c>
      <c r="C27" s="63">
        <f>SETTINGS!C24</f>
        <v>0</v>
      </c>
      <c r="D27" s="44">
        <f>COUNTBLANK(ATT!D20:R20)-COUNTBLANK(ATT!$D$2:$R$2)</f>
        <v>3</v>
      </c>
      <c r="E27" s="44">
        <f>COUNTIFS(ATT!D20:R20,"="&amp;10)</f>
        <v>0</v>
      </c>
      <c r="F27" s="44">
        <f>COUNTIFS(ATT!D20:R20,"="&amp;5)</f>
        <v>0</v>
      </c>
      <c r="G27" s="44">
        <f>COUNTA(ATT!$D$2:$R$5)</f>
        <v>3</v>
      </c>
      <c r="H27" s="54" t="e">
        <f>IF(AVERAGE!F28="DRP","DRP",VLOOKUP(AVERAGE!F28,'GRADE EQUIVALENTS'!$C$8:$D$109,2,TRUE))</f>
        <v>#N/A</v>
      </c>
      <c r="I27" s="45" t="e">
        <f t="shared" si="0"/>
        <v>#N/A</v>
      </c>
      <c r="K27" s="43">
        <v>65</v>
      </c>
      <c r="L27" s="63">
        <f>SETTINGS!C74</f>
        <v>0</v>
      </c>
      <c r="M27" s="44">
        <f>COUNTBLANK(ATT!D70:R70)-COUNTBLANK(ATT!$D$2:$R$2)</f>
        <v>3</v>
      </c>
      <c r="N27" s="44">
        <f>COUNTIFS(ATT!D70:R70,"="&amp;10)</f>
        <v>0</v>
      </c>
      <c r="O27" s="44">
        <f>COUNTIFS(ATT!D70:R70,"="&amp;5)</f>
        <v>0</v>
      </c>
      <c r="P27" s="44">
        <f>COUNTA(ATT!$D$2:$R$5)</f>
        <v>3</v>
      </c>
      <c r="Q27" s="54" t="e">
        <f>IF(AVERAGE!F78="DRP","DRP",VLOOKUP(AVERAGE!F78,'GRADE EQUIVALENTS'!$C$8:$D$109,2,TRUE))</f>
        <v>#N/A</v>
      </c>
      <c r="R27" s="45" t="e">
        <f t="shared" si="2"/>
        <v>#N/A</v>
      </c>
    </row>
    <row r="28" spans="2:18" x14ac:dyDescent="0.25">
      <c r="B28" s="43">
        <v>16</v>
      </c>
      <c r="C28" s="63">
        <f>SETTINGS!C25</f>
        <v>0</v>
      </c>
      <c r="D28" s="44">
        <f>COUNTBLANK(ATT!D21:R21)-COUNTBLANK(ATT!$D$2:$R$2)</f>
        <v>3</v>
      </c>
      <c r="E28" s="44">
        <f>COUNTIFS(ATT!D21:R21,"="&amp;10)</f>
        <v>0</v>
      </c>
      <c r="F28" s="44">
        <f>COUNTIFS(ATT!D21:R21,"="&amp;5)</f>
        <v>0</v>
      </c>
      <c r="G28" s="44">
        <f>COUNTA(ATT!$D$2:$R$5)</f>
        <v>3</v>
      </c>
      <c r="H28" s="54" t="e">
        <f>IF(AVERAGE!F29="DRP","DRP",VLOOKUP(AVERAGE!F29,'GRADE EQUIVALENTS'!$C$8:$D$109,2,TRUE))</f>
        <v>#N/A</v>
      </c>
      <c r="I28" s="45" t="e">
        <f t="shared" si="0"/>
        <v>#N/A</v>
      </c>
      <c r="K28" s="43">
        <v>66</v>
      </c>
      <c r="L28" s="63">
        <f>SETTINGS!C75</f>
        <v>0</v>
      </c>
      <c r="M28" s="44">
        <f>COUNTBLANK(ATT!D71:R71)-COUNTBLANK(ATT!$D$2:$R$2)</f>
        <v>3</v>
      </c>
      <c r="N28" s="44">
        <f>COUNTIFS(ATT!D71:R71,"="&amp;10)</f>
        <v>0</v>
      </c>
      <c r="O28" s="44">
        <f>COUNTIFS(ATT!D71:R71,"="&amp;5)</f>
        <v>0</v>
      </c>
      <c r="P28" s="44">
        <f>COUNTA(ATT!$D$2:$R$5)</f>
        <v>3</v>
      </c>
      <c r="Q28" s="54" t="e">
        <f>IF(AVERAGE!F79="DRP","DRP",VLOOKUP(AVERAGE!F79,'GRADE EQUIVALENTS'!$C$8:$D$109,2,TRUE))</f>
        <v>#N/A</v>
      </c>
      <c r="R28" s="45" t="e">
        <f t="shared" si="2"/>
        <v>#N/A</v>
      </c>
    </row>
    <row r="29" spans="2:18" x14ac:dyDescent="0.25">
      <c r="B29" s="43">
        <v>17</v>
      </c>
      <c r="C29" s="63">
        <f>SETTINGS!C26</f>
        <v>0</v>
      </c>
      <c r="D29" s="44">
        <f>COUNTBLANK(ATT!D22:R22)-COUNTBLANK(ATT!$D$2:$R$2)</f>
        <v>3</v>
      </c>
      <c r="E29" s="44">
        <f>COUNTIFS(ATT!D22:R22,"="&amp;10)</f>
        <v>0</v>
      </c>
      <c r="F29" s="44">
        <f>COUNTIFS(ATT!D22:R22,"="&amp;5)</f>
        <v>0</v>
      </c>
      <c r="G29" s="44">
        <f>COUNTA(ATT!$D$2:$R$5)</f>
        <v>3</v>
      </c>
      <c r="H29" s="54" t="e">
        <f>IF(AVERAGE!F30="DRP","DRP",VLOOKUP(AVERAGE!F30,'GRADE EQUIVALENTS'!$C$8:$D$109,2,TRUE))</f>
        <v>#N/A</v>
      </c>
      <c r="I29" s="45" t="e">
        <f t="shared" si="0"/>
        <v>#N/A</v>
      </c>
      <c r="K29" s="43">
        <v>67</v>
      </c>
      <c r="L29" s="63">
        <f>SETTINGS!C76</f>
        <v>0</v>
      </c>
      <c r="M29" s="44">
        <f>COUNTBLANK(ATT!D72:R72)-COUNTBLANK(ATT!$D$2:$R$2)</f>
        <v>3</v>
      </c>
      <c r="N29" s="44">
        <f>COUNTIFS(ATT!D72:R72,"="&amp;10)</f>
        <v>0</v>
      </c>
      <c r="O29" s="44">
        <f>COUNTIFS(ATT!D72:R72,"="&amp;5)</f>
        <v>0</v>
      </c>
      <c r="P29" s="44">
        <f>COUNTA(ATT!$D$2:$R$5)</f>
        <v>3</v>
      </c>
      <c r="Q29" s="54" t="e">
        <f>IF(AVERAGE!F80="DRP","DRP",VLOOKUP(AVERAGE!F80,'GRADE EQUIVALENTS'!$C$8:$D$109,2,TRUE))</f>
        <v>#N/A</v>
      </c>
      <c r="R29" s="45" t="e">
        <f t="shared" si="2"/>
        <v>#N/A</v>
      </c>
    </row>
    <row r="30" spans="2:18" x14ac:dyDescent="0.25">
      <c r="B30" s="43">
        <v>18</v>
      </c>
      <c r="C30" s="63">
        <f>SETTINGS!C27</f>
        <v>0</v>
      </c>
      <c r="D30" s="44">
        <f>COUNTBLANK(ATT!D23:R23)-COUNTBLANK(ATT!$D$2:$R$2)</f>
        <v>3</v>
      </c>
      <c r="E30" s="44">
        <f>COUNTIFS(ATT!D23:R23,"="&amp;10)</f>
        <v>0</v>
      </c>
      <c r="F30" s="44">
        <f>COUNTIFS(ATT!D23:R23,"="&amp;5)</f>
        <v>0</v>
      </c>
      <c r="G30" s="44">
        <f>COUNTA(ATT!$D$2:$R$5)</f>
        <v>3</v>
      </c>
      <c r="H30" s="54" t="e">
        <f>IF(AVERAGE!F31="DRP","DRP",VLOOKUP(AVERAGE!F31,'GRADE EQUIVALENTS'!$C$8:$D$109,2,TRUE))</f>
        <v>#N/A</v>
      </c>
      <c r="I30" s="45" t="e">
        <f t="shared" si="0"/>
        <v>#N/A</v>
      </c>
      <c r="K30" s="43">
        <v>68</v>
      </c>
      <c r="L30" s="63">
        <f>SETTINGS!C77</f>
        <v>0</v>
      </c>
      <c r="M30" s="44">
        <f>COUNTBLANK(ATT!D73:R73)-COUNTBLANK(ATT!$D$2:$R$2)</f>
        <v>3</v>
      </c>
      <c r="N30" s="44">
        <f>COUNTIFS(ATT!D73:R73,"="&amp;10)</f>
        <v>0</v>
      </c>
      <c r="O30" s="44">
        <f>COUNTIFS(ATT!D73:R73,"="&amp;5)</f>
        <v>0</v>
      </c>
      <c r="P30" s="44">
        <f>COUNTA(ATT!$D$2:$R$5)</f>
        <v>3</v>
      </c>
      <c r="Q30" s="54" t="e">
        <f>IF(AVERAGE!F81="DRP","DRP",VLOOKUP(AVERAGE!F81,'GRADE EQUIVALENTS'!$C$8:$D$109,2,TRUE))</f>
        <v>#N/A</v>
      </c>
      <c r="R30" s="45" t="e">
        <f t="shared" si="2"/>
        <v>#N/A</v>
      </c>
    </row>
    <row r="31" spans="2:18" x14ac:dyDescent="0.25">
      <c r="B31" s="43">
        <v>19</v>
      </c>
      <c r="C31" s="63">
        <f>SETTINGS!C28</f>
        <v>0</v>
      </c>
      <c r="D31" s="44">
        <f>COUNTBLANK(ATT!D24:R24)-COUNTBLANK(ATT!$D$2:$R$2)</f>
        <v>3</v>
      </c>
      <c r="E31" s="44">
        <f>COUNTIFS(ATT!D24:R24,"="&amp;10)</f>
        <v>0</v>
      </c>
      <c r="F31" s="44">
        <f>COUNTIFS(ATT!D24:R24,"="&amp;5)</f>
        <v>0</v>
      </c>
      <c r="G31" s="44">
        <f>COUNTA(ATT!$D$2:$R$5)</f>
        <v>3</v>
      </c>
      <c r="H31" s="54" t="e">
        <f>IF(AVERAGE!F32="DRP","DRP",VLOOKUP(AVERAGE!F32,'GRADE EQUIVALENTS'!$C$8:$D$109,2,TRUE))</f>
        <v>#N/A</v>
      </c>
      <c r="I31" s="45" t="e">
        <f t="shared" si="0"/>
        <v>#N/A</v>
      </c>
      <c r="K31" s="43">
        <v>69</v>
      </c>
      <c r="L31" s="63">
        <f>SETTINGS!C78</f>
        <v>0</v>
      </c>
      <c r="M31" s="44">
        <f>COUNTBLANK(ATT!D74:R74)-COUNTBLANK(ATT!$D$2:$R$2)</f>
        <v>3</v>
      </c>
      <c r="N31" s="44">
        <f>COUNTIFS(ATT!D74:R74,"="&amp;10)</f>
        <v>0</v>
      </c>
      <c r="O31" s="44">
        <f>COUNTIFS(ATT!D74:R74,"="&amp;5)</f>
        <v>0</v>
      </c>
      <c r="P31" s="44">
        <f>COUNTA(ATT!$D$2:$R$5)</f>
        <v>3</v>
      </c>
      <c r="Q31" s="54" t="e">
        <f>IF(AVERAGE!F82="DRP","DRP",VLOOKUP(AVERAGE!F82,'GRADE EQUIVALENTS'!$C$8:$D$109,2,TRUE))</f>
        <v>#N/A</v>
      </c>
      <c r="R31" s="45" t="e">
        <f t="shared" si="2"/>
        <v>#N/A</v>
      </c>
    </row>
    <row r="32" spans="2:18" x14ac:dyDescent="0.25">
      <c r="B32" s="43">
        <v>20</v>
      </c>
      <c r="C32" s="63">
        <f>SETTINGS!C29</f>
        <v>0</v>
      </c>
      <c r="D32" s="44">
        <f>COUNTBLANK(ATT!D25:R25)-COUNTBLANK(ATT!$D$2:$R$2)</f>
        <v>3</v>
      </c>
      <c r="E32" s="44">
        <f>COUNTIFS(ATT!D25:R25,"="&amp;10)</f>
        <v>0</v>
      </c>
      <c r="F32" s="44">
        <f>COUNTIFS(ATT!D25:R25,"="&amp;5)</f>
        <v>0</v>
      </c>
      <c r="G32" s="44">
        <f>COUNTA(ATT!$D$2:$R$5)</f>
        <v>3</v>
      </c>
      <c r="H32" s="54" t="e">
        <f>IF(AVERAGE!F33="DRP","DRP",VLOOKUP(AVERAGE!F33,'GRADE EQUIVALENTS'!$C$8:$D$109,2,TRUE))</f>
        <v>#N/A</v>
      </c>
      <c r="I32" s="45" t="e">
        <f t="shared" si="0"/>
        <v>#N/A</v>
      </c>
      <c r="K32" s="43">
        <v>70</v>
      </c>
      <c r="L32" s="63">
        <f>SETTINGS!C79</f>
        <v>0</v>
      </c>
      <c r="M32" s="44">
        <f>COUNTBLANK(ATT!D75:R75)-COUNTBLANK(ATT!$D$2:$R$2)</f>
        <v>3</v>
      </c>
      <c r="N32" s="44">
        <f>COUNTIFS(ATT!D75:R75,"="&amp;10)</f>
        <v>0</v>
      </c>
      <c r="O32" s="44">
        <f>COUNTIFS(ATT!D75:R75,"="&amp;5)</f>
        <v>0</v>
      </c>
      <c r="P32" s="44">
        <f>COUNTA(ATT!$D$2:$R$5)</f>
        <v>3</v>
      </c>
      <c r="Q32" s="54" t="e">
        <f>IF(AVERAGE!F83="DRP","DRP",VLOOKUP(AVERAGE!F83,'GRADE EQUIVALENTS'!$C$8:$D$109,2,TRUE))</f>
        <v>#N/A</v>
      </c>
      <c r="R32" s="45" t="e">
        <f t="shared" si="2"/>
        <v>#N/A</v>
      </c>
    </row>
    <row r="33" spans="2:18" x14ac:dyDescent="0.25">
      <c r="B33" s="43">
        <v>21</v>
      </c>
      <c r="C33" s="63">
        <f>SETTINGS!C30</f>
        <v>0</v>
      </c>
      <c r="D33" s="44">
        <f>COUNTBLANK(ATT!D26:R26)-COUNTBLANK(ATT!$D$2:$R$2)</f>
        <v>3</v>
      </c>
      <c r="E33" s="44">
        <f>COUNTIFS(ATT!D26:R26,"="&amp;10)</f>
        <v>0</v>
      </c>
      <c r="F33" s="44">
        <f>COUNTIFS(ATT!D26:R26,"="&amp;5)</f>
        <v>0</v>
      </c>
      <c r="G33" s="44">
        <f>COUNTA(ATT!$D$2:$R$5)</f>
        <v>3</v>
      </c>
      <c r="H33" s="54" t="e">
        <f>IF(AVERAGE!F34="DRP","DRP",VLOOKUP(AVERAGE!F34,'GRADE EQUIVALENTS'!$C$8:$D$109,2,TRUE))</f>
        <v>#N/A</v>
      </c>
      <c r="I33" s="45" t="e">
        <f t="shared" si="0"/>
        <v>#N/A</v>
      </c>
      <c r="K33" s="43"/>
      <c r="L33" s="63"/>
      <c r="M33" s="44"/>
      <c r="N33" s="44"/>
      <c r="O33" s="44"/>
      <c r="P33" s="44"/>
      <c r="Q33" s="54"/>
      <c r="R33" s="45"/>
    </row>
    <row r="34" spans="2:18" x14ac:dyDescent="0.25">
      <c r="B34" s="43">
        <v>22</v>
      </c>
      <c r="C34" s="63">
        <f>SETTINGS!C31</f>
        <v>0</v>
      </c>
      <c r="D34" s="44">
        <f>COUNTBLANK(ATT!D27:R27)-COUNTBLANK(ATT!$D$2:$R$2)</f>
        <v>3</v>
      </c>
      <c r="E34" s="44">
        <f>COUNTIFS(ATT!D27:R27,"="&amp;10)</f>
        <v>0</v>
      </c>
      <c r="F34" s="44">
        <f>COUNTIFS(ATT!D27:R27,"="&amp;5)</f>
        <v>0</v>
      </c>
      <c r="G34" s="44">
        <f>COUNTA(ATT!$D$2:$R$5)</f>
        <v>3</v>
      </c>
      <c r="H34" s="54" t="e">
        <f>IF(AVERAGE!F35="DRP","DRP",VLOOKUP(AVERAGE!F35,'GRADE EQUIVALENTS'!$C$8:$D$109,2,TRUE))</f>
        <v>#N/A</v>
      </c>
      <c r="I34" s="45" t="e">
        <f t="shared" si="0"/>
        <v>#N/A</v>
      </c>
      <c r="K34" s="43"/>
      <c r="L34" s="63"/>
      <c r="M34" s="44"/>
      <c r="N34" s="44"/>
      <c r="O34" s="44"/>
      <c r="P34" s="44"/>
      <c r="Q34" s="54"/>
      <c r="R34" s="45"/>
    </row>
    <row r="35" spans="2:18" x14ac:dyDescent="0.25">
      <c r="B35" s="43">
        <v>23</v>
      </c>
      <c r="C35" s="63">
        <f>SETTINGS!C32</f>
        <v>0</v>
      </c>
      <c r="D35" s="44">
        <f>COUNTBLANK(ATT!D28:R28)-COUNTBLANK(ATT!$D$2:$R$2)</f>
        <v>3</v>
      </c>
      <c r="E35" s="44">
        <f>COUNTIFS(ATT!D28:R28,"="&amp;10)</f>
        <v>0</v>
      </c>
      <c r="F35" s="44">
        <f>COUNTIFS(ATT!D28:R28,"="&amp;5)</f>
        <v>0</v>
      </c>
      <c r="G35" s="44">
        <f>COUNTA(ATT!$D$2:$R$5)</f>
        <v>3</v>
      </c>
      <c r="H35" s="54" t="e">
        <f>IF(AVERAGE!F36="DRP","DRP",VLOOKUP(AVERAGE!F36,'GRADE EQUIVALENTS'!$C$8:$D$109,2,TRUE))</f>
        <v>#N/A</v>
      </c>
      <c r="I35" s="45" t="e">
        <f t="shared" si="0"/>
        <v>#N/A</v>
      </c>
      <c r="K35" s="43"/>
      <c r="L35" s="63"/>
      <c r="M35" s="44"/>
      <c r="N35" s="44"/>
      <c r="O35" s="44"/>
      <c r="P35" s="44"/>
      <c r="Q35" s="54"/>
      <c r="R35" s="45"/>
    </row>
    <row r="36" spans="2:18" x14ac:dyDescent="0.25">
      <c r="B36" s="43">
        <v>24</v>
      </c>
      <c r="C36" s="63">
        <f>SETTINGS!C33</f>
        <v>0</v>
      </c>
      <c r="D36" s="44">
        <f>COUNTBLANK(ATT!D29:R29)-COUNTBLANK(ATT!$D$2:$R$2)</f>
        <v>3</v>
      </c>
      <c r="E36" s="44">
        <f>COUNTIFS(ATT!D29:R29,"="&amp;10)</f>
        <v>0</v>
      </c>
      <c r="F36" s="44">
        <f>COUNTIFS(ATT!D29:R29,"="&amp;5)</f>
        <v>0</v>
      </c>
      <c r="G36" s="44">
        <f>COUNTA(ATT!$D$2:$R$5)</f>
        <v>3</v>
      </c>
      <c r="H36" s="54" t="e">
        <f>IF(AVERAGE!F37="DRP","DRP",VLOOKUP(AVERAGE!F37,'GRADE EQUIVALENTS'!$C$8:$D$109,2,TRUE))</f>
        <v>#N/A</v>
      </c>
      <c r="I36" s="45" t="e">
        <f t="shared" si="0"/>
        <v>#N/A</v>
      </c>
      <c r="K36" s="43"/>
      <c r="L36" s="63"/>
      <c r="M36" s="44"/>
      <c r="N36" s="44"/>
      <c r="O36" s="44"/>
      <c r="P36" s="44"/>
      <c r="Q36" s="54"/>
      <c r="R36" s="45"/>
    </row>
    <row r="37" spans="2:18" x14ac:dyDescent="0.25">
      <c r="B37" s="43">
        <v>25</v>
      </c>
      <c r="C37" s="63">
        <f>SETTINGS!C34</f>
        <v>0</v>
      </c>
      <c r="D37" s="44">
        <f>COUNTBLANK(ATT!D30:R30)-COUNTBLANK(ATT!$D$2:$R$2)</f>
        <v>3</v>
      </c>
      <c r="E37" s="44">
        <f>COUNTIFS(ATT!D30:R30,"="&amp;10)</f>
        <v>0</v>
      </c>
      <c r="F37" s="44">
        <f>COUNTIFS(ATT!D30:R30,"="&amp;5)</f>
        <v>0</v>
      </c>
      <c r="G37" s="44">
        <f>COUNTA(ATT!$D$2:$R$5)</f>
        <v>3</v>
      </c>
      <c r="H37" s="54" t="e">
        <f>IF(AVERAGE!F38="DRP","DRP",VLOOKUP(AVERAGE!F38,'GRADE EQUIVALENTS'!$C$8:$D$109,2,TRUE))</f>
        <v>#N/A</v>
      </c>
      <c r="I37" s="45" t="e">
        <f t="shared" si="0"/>
        <v>#N/A</v>
      </c>
      <c r="K37" s="43"/>
      <c r="L37" s="63"/>
      <c r="M37" s="44"/>
      <c r="N37" s="44"/>
      <c r="O37" s="44"/>
      <c r="P37" s="44"/>
      <c r="Q37" s="54"/>
      <c r="R37" s="45"/>
    </row>
    <row r="38" spans="2:18" x14ac:dyDescent="0.25">
      <c r="B38" s="43">
        <v>26</v>
      </c>
      <c r="C38" s="63">
        <f>SETTINGS!C35</f>
        <v>0</v>
      </c>
      <c r="D38" s="44">
        <f>COUNTBLANK(ATT!D31:R31)-COUNTBLANK(ATT!$D$2:$R$2)</f>
        <v>3</v>
      </c>
      <c r="E38" s="44">
        <f>COUNTIFS(ATT!D31:R31,"="&amp;10)</f>
        <v>0</v>
      </c>
      <c r="F38" s="44">
        <f>COUNTIFS(ATT!D31:R31,"="&amp;5)</f>
        <v>0</v>
      </c>
      <c r="G38" s="44">
        <f>COUNTA(ATT!$D$2:$R$5)</f>
        <v>3</v>
      </c>
      <c r="H38" s="54" t="e">
        <f>IF(AVERAGE!F39="DRP","DRP",VLOOKUP(AVERAGE!F39,'GRADE EQUIVALENTS'!$C$8:$D$109,2,TRUE))</f>
        <v>#N/A</v>
      </c>
      <c r="I38" s="45" t="e">
        <f t="shared" si="0"/>
        <v>#N/A</v>
      </c>
      <c r="K38" s="43"/>
      <c r="L38" s="63"/>
      <c r="M38" s="44"/>
      <c r="N38" s="44"/>
      <c r="O38" s="44"/>
      <c r="P38" s="44"/>
      <c r="Q38" s="54"/>
      <c r="R38" s="45"/>
    </row>
    <row r="39" spans="2:18" x14ac:dyDescent="0.25">
      <c r="B39" s="43">
        <v>27</v>
      </c>
      <c r="C39" s="63">
        <f>SETTINGS!C36</f>
        <v>0</v>
      </c>
      <c r="D39" s="44">
        <f>COUNTBLANK(ATT!D32:R32)-COUNTBLANK(ATT!$D$2:$R$2)</f>
        <v>3</v>
      </c>
      <c r="E39" s="44">
        <f>COUNTIFS(ATT!D32:R32,"="&amp;10)</f>
        <v>0</v>
      </c>
      <c r="F39" s="44">
        <f>COUNTIFS(ATT!D32:R32,"="&amp;5)</f>
        <v>0</v>
      </c>
      <c r="G39" s="44">
        <f>COUNTA(ATT!$D$2:$R$5)</f>
        <v>3</v>
      </c>
      <c r="H39" s="54" t="e">
        <f>IF(AVERAGE!F40="DRP","DRP",VLOOKUP(AVERAGE!F40,'GRADE EQUIVALENTS'!$C$8:$D$109,2,TRUE))</f>
        <v>#N/A</v>
      </c>
      <c r="I39" s="45" t="e">
        <f t="shared" si="0"/>
        <v>#N/A</v>
      </c>
      <c r="K39" s="43"/>
      <c r="L39" s="63"/>
      <c r="M39" s="44"/>
      <c r="N39" s="44"/>
      <c r="O39" s="44"/>
      <c r="P39" s="44"/>
      <c r="Q39" s="54"/>
      <c r="R39" s="45"/>
    </row>
    <row r="40" spans="2:18" x14ac:dyDescent="0.25">
      <c r="B40" s="43">
        <v>28</v>
      </c>
      <c r="C40" s="63">
        <f>SETTINGS!C37</f>
        <v>0</v>
      </c>
      <c r="D40" s="44">
        <f>COUNTBLANK(ATT!D33:R33)-COUNTBLANK(ATT!$D$2:$R$2)</f>
        <v>3</v>
      </c>
      <c r="E40" s="44">
        <f>COUNTIFS(ATT!D33:R33,"="&amp;10)</f>
        <v>0</v>
      </c>
      <c r="F40" s="44">
        <f>COUNTIFS(ATT!D33:R33,"="&amp;5)</f>
        <v>0</v>
      </c>
      <c r="G40" s="44">
        <f>COUNTA(ATT!$D$2:$R$5)</f>
        <v>3</v>
      </c>
      <c r="H40" s="54" t="e">
        <f>IF(AVERAGE!F41="DRP","DRP",VLOOKUP(AVERAGE!F41,'GRADE EQUIVALENTS'!$C$8:$D$109,2,TRUE))</f>
        <v>#N/A</v>
      </c>
      <c r="I40" s="45" t="e">
        <f t="shared" si="0"/>
        <v>#N/A</v>
      </c>
      <c r="K40" s="43"/>
      <c r="L40" s="63"/>
      <c r="M40" s="44"/>
      <c r="N40" s="44"/>
      <c r="O40" s="44"/>
      <c r="P40" s="44"/>
      <c r="Q40" s="54"/>
      <c r="R40" s="45"/>
    </row>
    <row r="41" spans="2:18" x14ac:dyDescent="0.25">
      <c r="B41" s="43">
        <v>29</v>
      </c>
      <c r="C41" s="63">
        <f>SETTINGS!C38</f>
        <v>0</v>
      </c>
      <c r="D41" s="44">
        <f>COUNTBLANK(ATT!D34:R34)-COUNTBLANK(ATT!$D$2:$R$2)</f>
        <v>3</v>
      </c>
      <c r="E41" s="44">
        <f>COUNTIFS(ATT!D34:R34,"="&amp;10)</f>
        <v>0</v>
      </c>
      <c r="F41" s="44">
        <f>COUNTIFS(ATT!D34:R34,"="&amp;5)</f>
        <v>0</v>
      </c>
      <c r="G41" s="44">
        <f>COUNTA(ATT!$D$2:$R$5)</f>
        <v>3</v>
      </c>
      <c r="H41" s="54" t="e">
        <f>IF(AVERAGE!F42="DRP","DRP",VLOOKUP(AVERAGE!F42,'GRADE EQUIVALENTS'!$C$8:$D$109,2,TRUE))</f>
        <v>#N/A</v>
      </c>
      <c r="I41" s="45" t="e">
        <f t="shared" si="0"/>
        <v>#N/A</v>
      </c>
      <c r="K41" s="43"/>
      <c r="L41" s="63"/>
      <c r="M41" s="44"/>
      <c r="N41" s="44"/>
      <c r="O41" s="44"/>
      <c r="P41" s="44"/>
      <c r="Q41" s="54"/>
      <c r="R41" s="45"/>
    </row>
    <row r="42" spans="2:18" x14ac:dyDescent="0.25">
      <c r="B42" s="43">
        <v>30</v>
      </c>
      <c r="C42" s="63">
        <f>SETTINGS!C39</f>
        <v>0</v>
      </c>
      <c r="D42" s="44">
        <f>COUNTBLANK(ATT!D35:R35)-COUNTBLANK(ATT!$D$2:$R$2)</f>
        <v>3</v>
      </c>
      <c r="E42" s="44">
        <f>COUNTIFS(ATT!D35:R35,"="&amp;10)</f>
        <v>0</v>
      </c>
      <c r="F42" s="44">
        <f>COUNTIFS(ATT!D35:R35,"="&amp;5)</f>
        <v>0</v>
      </c>
      <c r="G42" s="44">
        <f>COUNTA(ATT!$D$2:$R$5)</f>
        <v>3</v>
      </c>
      <c r="H42" s="54" t="e">
        <f>IF(AVERAGE!F43="DRP","DRP",VLOOKUP(AVERAGE!F43,'GRADE EQUIVALENTS'!$C$8:$D$109,2,TRUE))</f>
        <v>#N/A</v>
      </c>
      <c r="I42" s="45" t="e">
        <f t="shared" si="0"/>
        <v>#N/A</v>
      </c>
      <c r="K42" s="43"/>
      <c r="L42" s="63"/>
      <c r="M42" s="44"/>
      <c r="N42" s="44"/>
      <c r="O42" s="44"/>
      <c r="P42" s="44"/>
      <c r="Q42" s="54"/>
      <c r="R42" s="45"/>
    </row>
    <row r="43" spans="2:18" x14ac:dyDescent="0.25">
      <c r="B43" s="43">
        <v>31</v>
      </c>
      <c r="C43" s="63">
        <f>SETTINGS!C40</f>
        <v>0</v>
      </c>
      <c r="D43" s="44">
        <f>COUNTBLANK(ATT!D36:R36)-COUNTBLANK(ATT!$D$2:$R$2)</f>
        <v>3</v>
      </c>
      <c r="E43" s="44">
        <f>COUNTIFS(ATT!D36:R36,"="&amp;10)</f>
        <v>0</v>
      </c>
      <c r="F43" s="44">
        <f>COUNTIFS(ATT!D36:R36,"="&amp;5)</f>
        <v>0</v>
      </c>
      <c r="G43" s="44">
        <f>COUNTA(ATT!$D$2:$R$5)</f>
        <v>3</v>
      </c>
      <c r="H43" s="54" t="e">
        <f>IF(AVERAGE!F44="DRP","DRP",VLOOKUP(AVERAGE!F44,'GRADE EQUIVALENTS'!$C$8:$D$109,2,TRUE))</f>
        <v>#N/A</v>
      </c>
      <c r="I43" s="45" t="e">
        <f t="shared" si="0"/>
        <v>#N/A</v>
      </c>
      <c r="K43" s="43"/>
      <c r="L43" s="63"/>
      <c r="M43" s="44"/>
      <c r="N43" s="44"/>
      <c r="O43" s="44"/>
      <c r="P43" s="44"/>
      <c r="Q43" s="54"/>
      <c r="R43" s="45"/>
    </row>
    <row r="44" spans="2:18" x14ac:dyDescent="0.25">
      <c r="B44" s="43">
        <v>32</v>
      </c>
      <c r="C44" s="63">
        <f>SETTINGS!C41</f>
        <v>0</v>
      </c>
      <c r="D44" s="44">
        <f>COUNTBLANK(ATT!D37:R37)-COUNTBLANK(ATT!$D$2:$R$2)</f>
        <v>3</v>
      </c>
      <c r="E44" s="44">
        <f>COUNTIFS(ATT!D37:R37,"="&amp;10)</f>
        <v>0</v>
      </c>
      <c r="F44" s="44">
        <f>COUNTIFS(ATT!D37:R37,"="&amp;5)</f>
        <v>0</v>
      </c>
      <c r="G44" s="44">
        <f>COUNTA(ATT!$D$2:$R$5)</f>
        <v>3</v>
      </c>
      <c r="H44" s="54" t="e">
        <f>IF(AVERAGE!F45="DRP","DRP",VLOOKUP(AVERAGE!F45,'GRADE EQUIVALENTS'!$C$8:$D$109,2,TRUE))</f>
        <v>#N/A</v>
      </c>
      <c r="I44" s="45" t="e">
        <f t="shared" si="0"/>
        <v>#N/A</v>
      </c>
      <c r="K44" s="43"/>
      <c r="L44" s="63"/>
      <c r="M44" s="44"/>
      <c r="N44" s="44"/>
      <c r="O44" s="44"/>
      <c r="P44" s="44"/>
      <c r="Q44" s="54"/>
      <c r="R44" s="45"/>
    </row>
    <row r="45" spans="2:18" x14ac:dyDescent="0.25">
      <c r="B45" s="43">
        <v>33</v>
      </c>
      <c r="C45" s="63">
        <f>SETTINGS!C42</f>
        <v>0</v>
      </c>
      <c r="D45" s="44">
        <f>COUNTBLANK(ATT!D38:R38)-COUNTBLANK(ATT!$D$2:$R$2)</f>
        <v>3</v>
      </c>
      <c r="E45" s="44">
        <f>COUNTIFS(ATT!D38:R38,"="&amp;10)</f>
        <v>0</v>
      </c>
      <c r="F45" s="44">
        <f>COUNTIFS(ATT!D38:R38,"="&amp;5)</f>
        <v>0</v>
      </c>
      <c r="G45" s="44">
        <f>COUNTA(ATT!$D$2:$R$5)</f>
        <v>3</v>
      </c>
      <c r="H45" s="54" t="e">
        <f>IF(AVERAGE!F46="DRP","DRP",VLOOKUP(AVERAGE!F46,'GRADE EQUIVALENTS'!$C$8:$D$109,2,TRUE))</f>
        <v>#N/A</v>
      </c>
      <c r="I45" s="45" t="e">
        <f t="shared" si="0"/>
        <v>#N/A</v>
      </c>
      <c r="K45" s="43"/>
      <c r="L45" s="63"/>
      <c r="M45" s="44"/>
      <c r="N45" s="44"/>
      <c r="O45" s="44"/>
      <c r="P45" s="44"/>
      <c r="Q45" s="54"/>
      <c r="R45" s="45"/>
    </row>
    <row r="46" spans="2:18" x14ac:dyDescent="0.25">
      <c r="B46" s="43">
        <v>34</v>
      </c>
      <c r="C46" s="63">
        <f>SETTINGS!C43</f>
        <v>0</v>
      </c>
      <c r="D46" s="44">
        <f>COUNTBLANK(ATT!D39:R39)-COUNTBLANK(ATT!$D$2:$R$2)</f>
        <v>3</v>
      </c>
      <c r="E46" s="44">
        <f>COUNTIFS(ATT!D39:R39,"="&amp;10)</f>
        <v>0</v>
      </c>
      <c r="F46" s="44">
        <f>COUNTIFS(ATT!D39:R39,"="&amp;5)</f>
        <v>0</v>
      </c>
      <c r="G46" s="44">
        <f>COUNTA(ATT!$D$2:$R$5)</f>
        <v>3</v>
      </c>
      <c r="H46" s="54" t="e">
        <f>IF(AVERAGE!F47="DRP","DRP",VLOOKUP(AVERAGE!F47,'GRADE EQUIVALENTS'!$C$8:$D$109,2,TRUE))</f>
        <v>#N/A</v>
      </c>
      <c r="I46" s="45" t="e">
        <f t="shared" si="0"/>
        <v>#N/A</v>
      </c>
      <c r="K46" s="43"/>
      <c r="L46" s="63"/>
      <c r="M46" s="44"/>
      <c r="N46" s="44"/>
      <c r="O46" s="44"/>
      <c r="P46" s="44"/>
      <c r="Q46" s="54"/>
      <c r="R46" s="45"/>
    </row>
    <row r="47" spans="2:18" x14ac:dyDescent="0.25">
      <c r="B47" s="43">
        <v>35</v>
      </c>
      <c r="C47" s="63">
        <f>SETTINGS!C44</f>
        <v>0</v>
      </c>
      <c r="D47" s="44">
        <f>COUNTBLANK(ATT!D40:R40)-COUNTBLANK(ATT!$D$2:$R$2)</f>
        <v>3</v>
      </c>
      <c r="E47" s="44">
        <f>COUNTIFS(ATT!D40:R40,"="&amp;10)</f>
        <v>0</v>
      </c>
      <c r="F47" s="44">
        <f>COUNTIFS(ATT!D40:R40,"="&amp;5)</f>
        <v>0</v>
      </c>
      <c r="G47" s="44">
        <f>COUNTA(ATT!$D$2:$R$5)</f>
        <v>3</v>
      </c>
      <c r="H47" s="54" t="e">
        <f>IF(AVERAGE!F48="DRP","DRP",VLOOKUP(AVERAGE!F48,'GRADE EQUIVALENTS'!$C$8:$D$109,2,TRUE))</f>
        <v>#N/A</v>
      </c>
      <c r="I47" s="45" t="e">
        <f t="shared" si="0"/>
        <v>#N/A</v>
      </c>
      <c r="K47" s="43"/>
      <c r="L47" s="63"/>
      <c r="M47" s="44"/>
      <c r="N47" s="44"/>
      <c r="O47" s="44"/>
      <c r="P47" s="44"/>
      <c r="Q47" s="54"/>
      <c r="R47" s="45"/>
    </row>
    <row r="48" spans="2:18" x14ac:dyDescent="0.25">
      <c r="B48" s="43">
        <v>36</v>
      </c>
      <c r="C48" s="63">
        <f>SETTINGS!C45</f>
        <v>0</v>
      </c>
      <c r="D48" s="44">
        <f>COUNTBLANK(ATT!D41:R41)-COUNTBLANK(ATT!$D$2:$R$2)</f>
        <v>3</v>
      </c>
      <c r="E48" s="44">
        <f>COUNTIFS(ATT!D41:R41,"="&amp;10)</f>
        <v>0</v>
      </c>
      <c r="F48" s="44">
        <f>COUNTIFS(ATT!D41:R41,"="&amp;5)</f>
        <v>0</v>
      </c>
      <c r="G48" s="44">
        <f>COUNTA(ATT!$D$2:$R$5)</f>
        <v>3</v>
      </c>
      <c r="H48" s="54" t="e">
        <f>IF(AVERAGE!F49="DRP","DRP",VLOOKUP(AVERAGE!F49,'GRADE EQUIVALENTS'!$C$8:$D$109,2,TRUE))</f>
        <v>#N/A</v>
      </c>
      <c r="I48" s="45" t="e">
        <f t="shared" si="0"/>
        <v>#N/A</v>
      </c>
      <c r="K48" s="43"/>
      <c r="L48" s="63"/>
      <c r="M48" s="44"/>
      <c r="N48" s="44"/>
      <c r="O48" s="44"/>
      <c r="P48" s="44"/>
      <c r="Q48" s="54"/>
      <c r="R48" s="45"/>
    </row>
    <row r="49" spans="2:18" x14ac:dyDescent="0.25">
      <c r="B49" s="43">
        <v>37</v>
      </c>
      <c r="C49" s="63">
        <f>SETTINGS!C46</f>
        <v>0</v>
      </c>
      <c r="D49" s="44">
        <f>COUNTBLANK(ATT!D42:R42)-COUNTBLANK(ATT!$D$2:$R$2)</f>
        <v>3</v>
      </c>
      <c r="E49" s="44">
        <f>COUNTIFS(ATT!D42:R42,"="&amp;10)</f>
        <v>0</v>
      </c>
      <c r="F49" s="44">
        <f>COUNTIFS(ATT!D42:R42,"="&amp;5)</f>
        <v>0</v>
      </c>
      <c r="G49" s="44">
        <f>COUNTA(ATT!$D$2:$R$5)</f>
        <v>3</v>
      </c>
      <c r="H49" s="54" t="e">
        <f>IF(AVERAGE!F50="DRP","DRP",VLOOKUP(AVERAGE!F50,'GRADE EQUIVALENTS'!$C$8:$D$109,2,TRUE))</f>
        <v>#N/A</v>
      </c>
      <c r="I49" s="45" t="e">
        <f t="shared" si="0"/>
        <v>#N/A</v>
      </c>
      <c r="K49" s="43"/>
      <c r="L49" s="63"/>
      <c r="M49" s="44"/>
      <c r="N49" s="44"/>
      <c r="O49" s="44"/>
      <c r="P49" s="44"/>
      <c r="Q49" s="54"/>
      <c r="R49" s="45"/>
    </row>
    <row r="50" spans="2:18" x14ac:dyDescent="0.25">
      <c r="B50" s="43">
        <v>38</v>
      </c>
      <c r="C50" s="63">
        <f>SETTINGS!C47</f>
        <v>0</v>
      </c>
      <c r="D50" s="44">
        <f>COUNTBLANK(ATT!D43:R43)-COUNTBLANK(ATT!$D$2:$R$2)</f>
        <v>3</v>
      </c>
      <c r="E50" s="44">
        <f>COUNTIFS(ATT!D43:R43,"="&amp;10)</f>
        <v>0</v>
      </c>
      <c r="F50" s="44">
        <f>COUNTIFS(ATT!D43:R43,"="&amp;5)</f>
        <v>0</v>
      </c>
      <c r="G50" s="44">
        <f>COUNTA(ATT!$D$2:$R$5)</f>
        <v>3</v>
      </c>
      <c r="H50" s="54" t="e">
        <f>IF(AVERAGE!F51="DRP","DRP",VLOOKUP(AVERAGE!F51,'GRADE EQUIVALENTS'!$C$8:$D$109,2,TRUE))</f>
        <v>#N/A</v>
      </c>
      <c r="I50" s="45" t="e">
        <f t="shared" si="0"/>
        <v>#N/A</v>
      </c>
      <c r="K50" s="43"/>
      <c r="L50" s="63"/>
      <c r="M50" s="44"/>
      <c r="N50" s="44"/>
      <c r="O50" s="44"/>
      <c r="P50" s="44"/>
      <c r="Q50" s="54"/>
      <c r="R50" s="45"/>
    </row>
    <row r="51" spans="2:18" x14ac:dyDescent="0.25">
      <c r="B51" s="43">
        <v>39</v>
      </c>
      <c r="C51" s="63">
        <f>SETTINGS!C48</f>
        <v>0</v>
      </c>
      <c r="D51" s="44">
        <f>COUNTBLANK(ATT!D44:R44)-COUNTBLANK(ATT!$D$2:$R$2)</f>
        <v>3</v>
      </c>
      <c r="E51" s="44">
        <f>COUNTIFS(ATT!D44:R44,"="&amp;10)</f>
        <v>0</v>
      </c>
      <c r="F51" s="44">
        <f>COUNTIFS(ATT!D44:R44,"="&amp;5)</f>
        <v>0</v>
      </c>
      <c r="G51" s="44">
        <f>COUNTA(ATT!$D$2:$R$5)</f>
        <v>3</v>
      </c>
      <c r="H51" s="54" t="e">
        <f>IF(AVERAGE!F52="DRP","DRP",VLOOKUP(AVERAGE!F52,'GRADE EQUIVALENTS'!$C$8:$D$109,2,TRUE))</f>
        <v>#N/A</v>
      </c>
      <c r="I51" s="45" t="e">
        <f t="shared" si="0"/>
        <v>#N/A</v>
      </c>
      <c r="K51" s="43"/>
      <c r="L51" s="63"/>
      <c r="M51" s="44"/>
      <c r="N51" s="44"/>
      <c r="O51" s="44"/>
      <c r="P51" s="44"/>
      <c r="Q51" s="54"/>
      <c r="R51" s="45"/>
    </row>
    <row r="52" spans="2:18" x14ac:dyDescent="0.25">
      <c r="B52" s="43">
        <v>40</v>
      </c>
      <c r="C52" s="63">
        <f>SETTINGS!C49</f>
        <v>0</v>
      </c>
      <c r="D52" s="44">
        <f>COUNTBLANK(ATT!D45:R45)-COUNTBLANK(ATT!$D$2:$R$2)</f>
        <v>3</v>
      </c>
      <c r="E52" s="44">
        <f>COUNTIFS(ATT!D45:R45,"="&amp;10)</f>
        <v>0</v>
      </c>
      <c r="F52" s="44">
        <f>COUNTIFS(ATT!D45:R45,"="&amp;5)</f>
        <v>0</v>
      </c>
      <c r="G52" s="44">
        <f>COUNTA(ATT!$D$2:$R$5)</f>
        <v>3</v>
      </c>
      <c r="H52" s="54" t="e">
        <f>IF(AVERAGE!F53="DRP","DRP",VLOOKUP(AVERAGE!F53,'GRADE EQUIVALENTS'!$C$8:$D$109,2,TRUE))</f>
        <v>#N/A</v>
      </c>
      <c r="I52" s="45" t="e">
        <f t="shared" si="0"/>
        <v>#N/A</v>
      </c>
      <c r="K52" s="43"/>
      <c r="L52" s="63"/>
      <c r="M52" s="44"/>
      <c r="N52" s="44"/>
      <c r="O52" s="44"/>
      <c r="P52" s="44"/>
      <c r="Q52" s="54"/>
      <c r="R52" s="45"/>
    </row>
    <row r="53" spans="2:18" x14ac:dyDescent="0.25">
      <c r="B53" s="43">
        <v>41</v>
      </c>
      <c r="C53" s="63">
        <f>SETTINGS!C50</f>
        <v>0</v>
      </c>
      <c r="D53" s="44">
        <f>COUNTBLANK(ATT!D46:R46)-COUNTBLANK(ATT!$D$2:$R$2)</f>
        <v>3</v>
      </c>
      <c r="E53" s="44">
        <f>COUNTIFS(ATT!D46:R46,"="&amp;10)</f>
        <v>0</v>
      </c>
      <c r="F53" s="44">
        <f>COUNTIFS(ATT!D46:R46,"="&amp;5)</f>
        <v>0</v>
      </c>
      <c r="G53" s="44">
        <f>COUNTA(ATT!$D$2:$R$5)</f>
        <v>3</v>
      </c>
      <c r="H53" s="54" t="e">
        <f>IF(AVERAGE!F54="DRP","DRP",VLOOKUP(AVERAGE!F54,'GRADE EQUIVALENTS'!$C$8:$D$109,2,TRUE))</f>
        <v>#N/A</v>
      </c>
      <c r="I53" s="45" t="e">
        <f t="shared" si="0"/>
        <v>#N/A</v>
      </c>
      <c r="K53" s="43"/>
      <c r="L53" s="63"/>
      <c r="M53" s="44"/>
      <c r="N53" s="44"/>
      <c r="O53" s="44"/>
      <c r="P53" s="44"/>
      <c r="Q53" s="54"/>
      <c r="R53" s="45"/>
    </row>
    <row r="54" spans="2:18" x14ac:dyDescent="0.25">
      <c r="B54" s="43">
        <v>42</v>
      </c>
      <c r="C54" s="63">
        <f>SETTINGS!C51</f>
        <v>0</v>
      </c>
      <c r="D54" s="44">
        <f>COUNTBLANK(ATT!D47:R47)-COUNTBLANK(ATT!$D$2:$R$2)</f>
        <v>3</v>
      </c>
      <c r="E54" s="44">
        <f>COUNTIFS(ATT!D47:R47,"="&amp;10)</f>
        <v>0</v>
      </c>
      <c r="F54" s="44">
        <f>COUNTIFS(ATT!D47:R47,"="&amp;5)</f>
        <v>0</v>
      </c>
      <c r="G54" s="44">
        <f>COUNTA(ATT!$D$2:$R$5)</f>
        <v>3</v>
      </c>
      <c r="H54" s="54" t="e">
        <f>IF(AVERAGE!F55="DRP","DRP",VLOOKUP(AVERAGE!F55,'GRADE EQUIVALENTS'!$C$8:$D$109,2,TRUE))</f>
        <v>#N/A</v>
      </c>
      <c r="I54" s="45" t="e">
        <f t="shared" si="0"/>
        <v>#N/A</v>
      </c>
      <c r="K54" s="43"/>
      <c r="L54" s="63"/>
      <c r="M54" s="44"/>
      <c r="N54" s="44"/>
      <c r="O54" s="44"/>
      <c r="P54" s="44"/>
      <c r="Q54" s="54"/>
      <c r="R54" s="45"/>
    </row>
    <row r="55" spans="2:18" x14ac:dyDescent="0.25">
      <c r="B55" s="43">
        <v>43</v>
      </c>
      <c r="C55" s="63">
        <f>SETTINGS!C52</f>
        <v>0</v>
      </c>
      <c r="D55" s="44">
        <f>COUNTBLANK(ATT!D48:R48)-COUNTBLANK(ATT!$D$2:$R$2)</f>
        <v>3</v>
      </c>
      <c r="E55" s="44">
        <f>COUNTIFS(ATT!D48:R48,"="&amp;10)</f>
        <v>0</v>
      </c>
      <c r="F55" s="44">
        <f>COUNTIFS(ATT!D48:R48,"="&amp;5)</f>
        <v>0</v>
      </c>
      <c r="G55" s="44">
        <f>COUNTA(ATT!$D$2:$R$5)</f>
        <v>3</v>
      </c>
      <c r="H55" s="54" t="e">
        <f>IF(AVERAGE!F56="DRP","DRP",VLOOKUP(AVERAGE!F56,'GRADE EQUIVALENTS'!$C$8:$D$109,2,TRUE))</f>
        <v>#N/A</v>
      </c>
      <c r="I55" s="45" t="e">
        <f t="shared" si="0"/>
        <v>#N/A</v>
      </c>
      <c r="K55" s="43"/>
      <c r="L55" s="63"/>
      <c r="M55" s="44"/>
      <c r="N55" s="44"/>
      <c r="O55" s="44"/>
      <c r="P55" s="44"/>
      <c r="Q55" s="54"/>
      <c r="R55" s="45"/>
    </row>
    <row r="56" spans="2:18" x14ac:dyDescent="0.25">
      <c r="B56" s="43">
        <v>44</v>
      </c>
      <c r="C56" s="63">
        <f>SETTINGS!C53</f>
        <v>0</v>
      </c>
      <c r="D56" s="44">
        <f>COUNTBLANK(ATT!D49:R49)-COUNTBLANK(ATT!$D$2:$R$2)</f>
        <v>3</v>
      </c>
      <c r="E56" s="44">
        <f>COUNTIFS(ATT!D49:R49,"="&amp;10)</f>
        <v>0</v>
      </c>
      <c r="F56" s="44">
        <f>COUNTIFS(ATT!D49:R49,"="&amp;5)</f>
        <v>0</v>
      </c>
      <c r="G56" s="44">
        <f>COUNTA(ATT!$D$2:$R$5)</f>
        <v>3</v>
      </c>
      <c r="H56" s="54" t="e">
        <f>IF(AVERAGE!F57="DRP","DRP",VLOOKUP(AVERAGE!F57,'GRADE EQUIVALENTS'!$C$8:$D$109,2,TRUE))</f>
        <v>#N/A</v>
      </c>
      <c r="I56" s="45" t="e">
        <f t="shared" si="0"/>
        <v>#N/A</v>
      </c>
      <c r="K56" s="43"/>
      <c r="L56" s="63"/>
      <c r="M56" s="44"/>
      <c r="N56" s="44"/>
      <c r="O56" s="44"/>
      <c r="P56" s="44"/>
      <c r="Q56" s="54"/>
      <c r="R56" s="45"/>
    </row>
    <row r="57" spans="2:18" x14ac:dyDescent="0.25">
      <c r="B57" s="43">
        <v>45</v>
      </c>
      <c r="C57" s="63">
        <f>SETTINGS!C54</f>
        <v>0</v>
      </c>
      <c r="D57" s="44">
        <f>COUNTBLANK(ATT!D50:R50)-COUNTBLANK(ATT!$D$2:$R$2)</f>
        <v>3</v>
      </c>
      <c r="E57" s="44">
        <f>COUNTIFS(ATT!D50:R50,"="&amp;10)</f>
        <v>0</v>
      </c>
      <c r="F57" s="44">
        <f>COUNTIFS(ATT!D50:R50,"="&amp;5)</f>
        <v>0</v>
      </c>
      <c r="G57" s="44">
        <f>COUNTA(ATT!$D$2:$R$5)</f>
        <v>3</v>
      </c>
      <c r="H57" s="54" t="e">
        <f>IF(AVERAGE!F58="DRP","DRP",VLOOKUP(AVERAGE!F58,'GRADE EQUIVALENTS'!$C$8:$D$109,2,TRUE))</f>
        <v>#N/A</v>
      </c>
      <c r="I57" s="45" t="e">
        <f t="shared" si="0"/>
        <v>#N/A</v>
      </c>
      <c r="K57" s="43"/>
      <c r="L57" s="63"/>
      <c r="M57" s="44"/>
      <c r="N57" s="44"/>
      <c r="O57" s="44"/>
      <c r="P57" s="44"/>
      <c r="Q57" s="54"/>
      <c r="R57" s="45"/>
    </row>
    <row r="58" spans="2:18" x14ac:dyDescent="0.25">
      <c r="B58" s="43">
        <v>46</v>
      </c>
      <c r="C58" s="63">
        <f>SETTINGS!C55</f>
        <v>0</v>
      </c>
      <c r="D58" s="44">
        <f>COUNTBLANK(ATT!D51:R51)-COUNTBLANK(ATT!$D$2:$R$2)</f>
        <v>3</v>
      </c>
      <c r="E58" s="44">
        <f>COUNTIFS(ATT!D51:R51,"="&amp;10)</f>
        <v>0</v>
      </c>
      <c r="F58" s="44">
        <f>COUNTIFS(ATT!D51:R51,"="&amp;5)</f>
        <v>0</v>
      </c>
      <c r="G58" s="44">
        <f>COUNTA(ATT!$D$2:$R$5)</f>
        <v>3</v>
      </c>
      <c r="H58" s="54" t="e">
        <f>IF(AVERAGE!F59="DRP","DRP",VLOOKUP(AVERAGE!F59,'GRADE EQUIVALENTS'!$C$8:$D$109,2,TRUE))</f>
        <v>#N/A</v>
      </c>
      <c r="I58" s="45" t="e">
        <f t="shared" si="0"/>
        <v>#N/A</v>
      </c>
      <c r="K58" s="43"/>
      <c r="L58" s="63"/>
      <c r="M58" s="44"/>
      <c r="N58" s="44"/>
      <c r="O58" s="44"/>
      <c r="P58" s="44"/>
      <c r="Q58" s="54"/>
      <c r="R58" s="45"/>
    </row>
    <row r="59" spans="2:18" x14ac:dyDescent="0.25">
      <c r="B59" s="43">
        <v>47</v>
      </c>
      <c r="C59" s="63">
        <f>SETTINGS!C56</f>
        <v>0</v>
      </c>
      <c r="D59" s="44">
        <f>COUNTBLANK(ATT!D52:R52)-COUNTBLANK(ATT!$D$2:$R$2)</f>
        <v>3</v>
      </c>
      <c r="E59" s="44">
        <f>COUNTIFS(ATT!D52:R52,"="&amp;10)</f>
        <v>0</v>
      </c>
      <c r="F59" s="44">
        <f>COUNTIFS(ATT!D52:R52,"="&amp;5)</f>
        <v>0</v>
      </c>
      <c r="G59" s="44">
        <f>COUNTA(ATT!$D$2:$R$5)</f>
        <v>3</v>
      </c>
      <c r="H59" s="54" t="e">
        <f>IF(AVERAGE!F60="DRP","DRP",VLOOKUP(AVERAGE!F60,'GRADE EQUIVALENTS'!$C$8:$D$109,2,TRUE))</f>
        <v>#N/A</v>
      </c>
      <c r="I59" s="45" t="e">
        <f t="shared" si="0"/>
        <v>#N/A</v>
      </c>
      <c r="K59" s="43"/>
      <c r="L59" s="63"/>
      <c r="M59" s="44"/>
      <c r="N59" s="44"/>
      <c r="O59" s="44"/>
      <c r="P59" s="44"/>
      <c r="Q59" s="54"/>
      <c r="R59" s="45"/>
    </row>
    <row r="60" spans="2:18" x14ac:dyDescent="0.25">
      <c r="B60" s="43">
        <v>48</v>
      </c>
      <c r="C60" s="63">
        <f>SETTINGS!C57</f>
        <v>0</v>
      </c>
      <c r="D60" s="44">
        <f>COUNTBLANK(ATT!D53:R53)-COUNTBLANK(ATT!$D$2:$R$2)</f>
        <v>3</v>
      </c>
      <c r="E60" s="44">
        <f>COUNTIFS(ATT!D53:R53,"="&amp;10)</f>
        <v>0</v>
      </c>
      <c r="F60" s="44">
        <f>COUNTIFS(ATT!D53:R53,"="&amp;5)</f>
        <v>0</v>
      </c>
      <c r="G60" s="44">
        <f>COUNTA(ATT!$D$2:$R$5)</f>
        <v>3</v>
      </c>
      <c r="H60" s="54" t="e">
        <f>IF(AVERAGE!F61="DRP","DRP",VLOOKUP(AVERAGE!F61,'GRADE EQUIVALENTS'!$C$8:$D$109,2,TRUE))</f>
        <v>#N/A</v>
      </c>
      <c r="I60" s="45" t="e">
        <f t="shared" si="0"/>
        <v>#N/A</v>
      </c>
      <c r="K60" s="43"/>
      <c r="L60" s="63"/>
      <c r="M60" s="44"/>
      <c r="N60" s="44"/>
      <c r="O60" s="44"/>
      <c r="P60" s="44"/>
      <c r="Q60" s="54"/>
      <c r="R60" s="45"/>
    </row>
    <row r="61" spans="2:18" x14ac:dyDescent="0.25">
      <c r="B61" s="43">
        <v>49</v>
      </c>
      <c r="C61" s="63">
        <f>SETTINGS!C58</f>
        <v>0</v>
      </c>
      <c r="D61" s="44">
        <f>COUNTBLANK(ATT!D54:R54)-COUNTBLANK(ATT!$D$2:$R$2)</f>
        <v>3</v>
      </c>
      <c r="E61" s="44">
        <f>COUNTIFS(ATT!D54:R54,"="&amp;10)</f>
        <v>0</v>
      </c>
      <c r="F61" s="44">
        <f>COUNTIFS(ATT!D54:R54,"="&amp;5)</f>
        <v>0</v>
      </c>
      <c r="G61" s="44">
        <f>COUNTA(ATT!$D$2:$R$5)</f>
        <v>3</v>
      </c>
      <c r="H61" s="54" t="e">
        <f>IF(AVERAGE!F62="DRP","DRP",VLOOKUP(AVERAGE!F62,'GRADE EQUIVALENTS'!$C$8:$D$109,2,TRUE))</f>
        <v>#N/A</v>
      </c>
      <c r="I61" s="45" t="e">
        <f t="shared" si="0"/>
        <v>#N/A</v>
      </c>
      <c r="K61" s="43"/>
      <c r="L61" s="63"/>
      <c r="M61" s="44"/>
      <c r="N61" s="44"/>
      <c r="O61" s="44"/>
      <c r="P61" s="44"/>
      <c r="Q61" s="54"/>
      <c r="R61" s="45"/>
    </row>
    <row r="62" spans="2:18" x14ac:dyDescent="0.25">
      <c r="B62" s="43">
        <v>50</v>
      </c>
      <c r="C62" s="63">
        <f>SETTINGS!C59</f>
        <v>0</v>
      </c>
      <c r="D62" s="44">
        <f>COUNTBLANK(ATT!D55:R55)-COUNTBLANK(ATT!$D$2:$R$2)</f>
        <v>3</v>
      </c>
      <c r="E62" s="44">
        <f>COUNTIFS(ATT!D55:R55,"="&amp;10)</f>
        <v>0</v>
      </c>
      <c r="F62" s="44">
        <f>COUNTIFS(ATT!D55:R55,"="&amp;5)</f>
        <v>0</v>
      </c>
      <c r="G62" s="44">
        <f>COUNTA(ATT!$D$2:$R$5)</f>
        <v>3</v>
      </c>
      <c r="H62" s="54" t="e">
        <f>IF(AVERAGE!F63="DRP","DRP",VLOOKUP(AVERAGE!F63,'GRADE EQUIVALENTS'!$C$8:$D$109,2,TRUE))</f>
        <v>#N/A</v>
      </c>
      <c r="I62" s="45" t="e">
        <f t="shared" si="0"/>
        <v>#N/A</v>
      </c>
      <c r="K62" s="43"/>
      <c r="L62" s="63"/>
      <c r="M62" s="44"/>
      <c r="N62" s="44"/>
      <c r="O62" s="44"/>
      <c r="P62" s="44"/>
      <c r="Q62" s="54"/>
      <c r="R62" s="45"/>
    </row>
    <row r="63" spans="2:18" x14ac:dyDescent="0.25">
      <c r="C63" s="46" t="s">
        <v>45</v>
      </c>
      <c r="D63" s="47">
        <f>SUM(D64:D67)</f>
        <v>0</v>
      </c>
      <c r="F63" s="44">
        <f>COUNTIFS(ATT!D56:R56,"="&amp;5)</f>
        <v>0</v>
      </c>
      <c r="G63" s="44">
        <f>COUNTA(ATT!$D$2:$R$5)</f>
        <v>3</v>
      </c>
      <c r="H63" s="48"/>
    </row>
    <row r="64" spans="2:18" x14ac:dyDescent="0.25">
      <c r="C64" s="49" t="s">
        <v>46</v>
      </c>
      <c r="D64" s="50">
        <f>COUNTIF(I13:I62:R13:R62,"PASSED")</f>
        <v>0</v>
      </c>
      <c r="F64" s="44">
        <f>COUNTIFS(ATT!D57:R57,"="&amp;5)</f>
        <v>0</v>
      </c>
      <c r="G64" s="44">
        <f>COUNTA(ATT!$D$2:$R$5)</f>
        <v>3</v>
      </c>
    </row>
    <row r="65" spans="1:7" x14ac:dyDescent="0.25">
      <c r="C65" s="49" t="s">
        <v>47</v>
      </c>
      <c r="D65" s="50">
        <f>COUNTIF(I13:I62:R13:R62,"FAILED")</f>
        <v>0</v>
      </c>
      <c r="F65" s="44">
        <f>COUNTIFS(ATT!D58:R58,"="&amp;5)</f>
        <v>0</v>
      </c>
      <c r="G65" s="44">
        <f>COUNTA(ATT!$D$2:$R$5)</f>
        <v>3</v>
      </c>
    </row>
    <row r="66" spans="1:7" x14ac:dyDescent="0.25">
      <c r="C66" s="49" t="s">
        <v>48</v>
      </c>
      <c r="D66" s="50">
        <f>COUNTIF(I13:I62:R13:R62,"INC")</f>
        <v>0</v>
      </c>
      <c r="F66" s="44">
        <f>COUNTIFS(ATT!D59:R59,"="&amp;5)</f>
        <v>0</v>
      </c>
      <c r="G66" s="44">
        <f>COUNTA(ATT!$D$2:$R$5)</f>
        <v>3</v>
      </c>
    </row>
    <row r="67" spans="1:7" x14ac:dyDescent="0.25">
      <c r="C67" s="49" t="s">
        <v>49</v>
      </c>
      <c r="D67" s="50">
        <f>COUNTIF(H13:H62:Q13:Q62,"DRP")</f>
        <v>0</v>
      </c>
      <c r="F67" s="44">
        <f>COUNTIFS(ATT!D60:R60,"="&amp;5)</f>
        <v>0</v>
      </c>
      <c r="G67" s="44">
        <f>COUNTA(ATT!$D$2:$R$5)</f>
        <v>3</v>
      </c>
    </row>
    <row r="69" spans="1:7" x14ac:dyDescent="0.25">
      <c r="A69" s="39" t="s">
        <v>50</v>
      </c>
    </row>
    <row r="72" spans="1:7" x14ac:dyDescent="0.25">
      <c r="A72" s="50" t="s">
        <v>51</v>
      </c>
      <c r="D72" s="50"/>
    </row>
    <row r="73" spans="1:7" x14ac:dyDescent="0.25">
      <c r="A73" s="40" t="s">
        <v>52</v>
      </c>
      <c r="D73" s="40"/>
    </row>
    <row r="76" spans="1:7" x14ac:dyDescent="0.25">
      <c r="A76" s="39" t="s">
        <v>53</v>
      </c>
    </row>
  </sheetData>
  <mergeCells count="17">
    <mergeCell ref="A7:R7"/>
    <mergeCell ref="K11:K12"/>
    <mergeCell ref="L11:L12"/>
    <mergeCell ref="M11:P11"/>
    <mergeCell ref="Q11:Q12"/>
    <mergeCell ref="R11:R12"/>
    <mergeCell ref="A9:R9"/>
    <mergeCell ref="B11:B12"/>
    <mergeCell ref="C11:C12"/>
    <mergeCell ref="D11:G11"/>
    <mergeCell ref="H11:H12"/>
    <mergeCell ref="I11:I12"/>
    <mergeCell ref="A1:J1"/>
    <mergeCell ref="A2:R2"/>
    <mergeCell ref="A3:R3"/>
    <mergeCell ref="A4:R4"/>
    <mergeCell ref="A6:R6"/>
  </mergeCells>
  <conditionalFormatting sqref="H13:H62">
    <cfRule type="containsText" dxfId="5" priority="2" operator="containsText" text="FA">
      <formula>NOT(ISERROR(SEARCH("FA",H13)))</formula>
    </cfRule>
    <cfRule type="cellIs" dxfId="4" priority="6" operator="equal">
      <formula>5</formula>
    </cfRule>
  </conditionalFormatting>
  <conditionalFormatting sqref="I13:I62">
    <cfRule type="containsText" dxfId="3" priority="5" operator="containsText" text="FAILED">
      <formula>NOT(ISERROR(SEARCH("FAILED",I13)))</formula>
    </cfRule>
  </conditionalFormatting>
  <conditionalFormatting sqref="Q13:Q34">
    <cfRule type="cellIs" dxfId="2" priority="1" operator="equal">
      <formula>"FA"</formula>
    </cfRule>
  </conditionalFormatting>
  <conditionalFormatting sqref="Q13:Q62">
    <cfRule type="cellIs" dxfId="1" priority="4" operator="equal">
      <formula>5</formula>
    </cfRule>
  </conditionalFormatting>
  <conditionalFormatting sqref="R13:R62">
    <cfRule type="containsText" dxfId="0" priority="3" operator="containsText" text="FAILED">
      <formula>NOT(ISERROR(SEARCH("FAILED",R13)))</formula>
    </cfRule>
  </conditionalFormatting>
  <pageMargins left="0.7" right="0.7" top="0.75" bottom="0.75" header="0.3" footer="0.3"/>
  <pageSetup paperSize="5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SETTINGS</vt:lpstr>
      <vt:lpstr>ATT</vt:lpstr>
      <vt:lpstr>MID-FINAL</vt:lpstr>
      <vt:lpstr>AVERAGE</vt:lpstr>
      <vt:lpstr>GRADE EQUIVALENTS</vt:lpstr>
      <vt:lpstr>MIDTERM SOG</vt:lpstr>
      <vt:lpstr>'MIDTERM SOG'!Print_Area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Da</dc:creator>
  <cp:lastModifiedBy>Gary Dela Cruz</cp:lastModifiedBy>
  <cp:lastPrinted>2018-11-17T01:16:49Z</cp:lastPrinted>
  <dcterms:created xsi:type="dcterms:W3CDTF">2018-11-12T06:51:10Z</dcterms:created>
  <dcterms:modified xsi:type="dcterms:W3CDTF">2026-03-24T13:11:59Z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5d98a92c-6d96-4beb-ba15-16d69e6163bd</vt:lpwstr>
  </property>
</Properties>
</file>